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zharrazin/Desktop/sabre_project/results/"/>
    </mc:Choice>
  </mc:AlternateContent>
  <xr:revisionPtr revIDLastSave="0" documentId="13_ncr:1_{520907E1-3534-B147-8DD6-349002166146}" xr6:coauthVersionLast="47" xr6:coauthVersionMax="47" xr10:uidLastSave="{00000000-0000-0000-0000-000000000000}"/>
  <bookViews>
    <workbookView xWindow="0" yWindow="760" windowWidth="29400" windowHeight="17220" xr2:uid="{00000000-000D-0000-FFFF-FFFF00000000}"/>
  </bookViews>
  <sheets>
    <sheet name="CAPEX &amp; OPEX" sheetId="1" r:id="rId1"/>
    <sheet name="Stream Table" sheetId="2" r:id="rId2"/>
    <sheet name="Stream Table — Enzymatic" sheetId="3" r:id="rId3"/>
    <sheet name="Stream Table — Peroxide" sheetId="4" r:id="rId4"/>
    <sheet name="Stream Table — Combined PE" sheetId="5" r:id="rId5"/>
    <sheet name="Stream Table — Combined PTE" sheetId="6" r:id="rId6"/>
    <sheet name="Diagnost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" i="1" l="1"/>
  <c r="E64" i="1"/>
  <c r="D64" i="1"/>
  <c r="C64" i="1"/>
  <c r="F50" i="1"/>
  <c r="E50" i="1"/>
  <c r="D50" i="1"/>
  <c r="C50" i="1"/>
  <c r="F37" i="1"/>
  <c r="E37" i="1"/>
  <c r="D37" i="1"/>
  <c r="C37" i="1"/>
  <c r="F25" i="1"/>
  <c r="E25" i="1"/>
  <c r="D25" i="1"/>
  <c r="C25" i="1"/>
  <c r="F13" i="1"/>
  <c r="E13" i="1"/>
  <c r="D13" i="1"/>
  <c r="C13" i="1"/>
</calcChain>
</file>

<file path=xl/sharedStrings.xml><?xml version="1.0" encoding="utf-8"?>
<sst xmlns="http://schemas.openxmlformats.org/spreadsheetml/2006/main" count="582" uniqueCount="105">
  <si>
    <t>AD Pathway — Unit CAPEX and OPEX by Pretreatment Case</t>
  </si>
  <si>
    <t>Generated directly from BioSTEAM model | 330 days/yr</t>
  </si>
  <si>
    <t>Press + Mill Only</t>
  </si>
  <si>
    <t>ID</t>
  </si>
  <si>
    <t>Unit Name</t>
  </si>
  <si>
    <t>Installed Cost ($)</t>
  </si>
  <si>
    <t>add_OPEX ($/yr)</t>
  </si>
  <si>
    <t>Utility ($/yr)</t>
  </si>
  <si>
    <t>Total OPEX ($/yr)</t>
  </si>
  <si>
    <t>PR</t>
  </si>
  <si>
    <t>Press system</t>
  </si>
  <si>
    <t>PC</t>
  </si>
  <si>
    <t>Pressate concentrator</t>
  </si>
  <si>
    <t>ML</t>
  </si>
  <si>
    <t>Hammer mill</t>
  </si>
  <si>
    <t>AD</t>
  </si>
  <si>
    <t>Anaerobic digester</t>
  </si>
  <si>
    <t>H2SR</t>
  </si>
  <si>
    <t>H2S removal (iron sponge)</t>
  </si>
  <si>
    <t>UP</t>
  </si>
  <si>
    <t>Membrane upgrading skid</t>
  </si>
  <si>
    <t>SP</t>
  </si>
  <si>
    <t>Screw press (digestate)</t>
  </si>
  <si>
    <t>TOTAL</t>
  </si>
  <si>
    <t>Enzymatic</t>
  </si>
  <si>
    <t>EZ</t>
  </si>
  <si>
    <t>Enzymatic pretreatment</t>
  </si>
  <si>
    <t>Peroxide</t>
  </si>
  <si>
    <t>PX</t>
  </si>
  <si>
    <t>Peroxide pretreatment</t>
  </si>
  <si>
    <t>Combined PE</t>
  </si>
  <si>
    <t>Combined PTE</t>
  </si>
  <si>
    <t>HT</t>
  </si>
  <si>
    <t>Heating pretreatment</t>
  </si>
  <si>
    <t>AD Pathway — Stream Table (Press + Mill Only)</t>
  </si>
  <si>
    <t>625,000 kg/hr wet feed | generated from model | 330 days/yr</t>
  </si>
  <si>
    <t>Stream</t>
  </si>
  <si>
    <t>Component</t>
  </si>
  <si>
    <t>Flow (kg/hr)</t>
  </si>
  <si>
    <t>Moisture (%)</t>
  </si>
  <si>
    <t>Dry Matter (%)</t>
  </si>
  <si>
    <t>Aux</t>
  </si>
  <si>
    <t>Notes</t>
  </si>
  <si>
    <t>Feed In</t>
  </si>
  <si>
    <t>Total wet</t>
  </si>
  <si>
    <t>Model feed stream</t>
  </si>
  <si>
    <t>Water</t>
  </si>
  <si>
    <t>Ash</t>
  </si>
  <si>
    <t>Glucan</t>
  </si>
  <si>
    <t>Alginate</t>
  </si>
  <si>
    <t>Fucoidan</t>
  </si>
  <si>
    <t>Mannitol</t>
  </si>
  <si>
    <t>Protein</t>
  </si>
  <si>
    <t>OtherSolids</t>
  </si>
  <si>
    <t>AD Inlet</t>
  </si>
  <si>
    <t>Total</t>
  </si>
  <si>
    <t>After press / mill / pretreatment</t>
  </si>
  <si>
    <t>Biodegradable pool</t>
  </si>
  <si>
    <t>Methane yield</t>
  </si>
  <si>
    <t>kg CH4/kg VS fed</t>
  </si>
  <si>
    <t>Raw Biogas</t>
  </si>
  <si>
    <t>kg/hr | Nm3/hr</t>
  </si>
  <si>
    <t>CH4</t>
  </si>
  <si>
    <t>mol%</t>
  </si>
  <si>
    <t>CO2</t>
  </si>
  <si>
    <t>H2S</t>
  </si>
  <si>
    <t>Treated Biogas</t>
  </si>
  <si>
    <t>After H2S removal</t>
  </si>
  <si>
    <t>H2S outlet</t>
  </si>
  <si>
    <t>ppm mol</t>
  </si>
  <si>
    <t>Biomethane Out</t>
  </si>
  <si>
    <t>Upgrader product</t>
  </si>
  <si>
    <t>CO2 (residual)</t>
  </si>
  <si>
    <t>Biostimulant</t>
  </si>
  <si>
    <t>Total concentrate</t>
  </si>
  <si>
    <t>Pressate side-stream product</t>
  </si>
  <si>
    <t>Soil Amendment</t>
  </si>
  <si>
    <t>Digestate cake</t>
  </si>
  <si>
    <t>Liquid Digestate</t>
  </si>
  <si>
    <t>Digestate centrate / filtrate</t>
  </si>
  <si>
    <t>Source: generated from BioSTEAM model output.</t>
  </si>
  <si>
    <t>AD Pathway — Stream Table (Enzymatic)</t>
  </si>
  <si>
    <t>AD Pathway — Stream Table (Peroxide)</t>
  </si>
  <si>
    <t>AD Pathway — Stream Table (Combined PE)</t>
  </si>
  <si>
    <t>AD Pathway — Stream Table (Combined PTE)</t>
  </si>
  <si>
    <t>Model Export Diagnostics</t>
  </si>
  <si>
    <t>Severity</t>
  </si>
  <si>
    <t>Case</t>
  </si>
  <si>
    <t>Check</t>
  </si>
  <si>
    <t>Result</t>
  </si>
  <si>
    <t>Comment</t>
  </si>
  <si>
    <t>OK</t>
  </si>
  <si>
    <t>Biomethane total vs CH4+CO2</t>
  </si>
  <si>
    <t>Δ = 0.0 kg/h</t>
  </si>
  <si>
    <t>Should be near zero unless other gas species are intentionally retained.</t>
  </si>
  <si>
    <t>Gas increases but digestate unchanged</t>
  </si>
  <si>
    <t>biomethane ratio = 1.00x; same digestate = True</t>
  </si>
  <si>
    <t>AD water-balance / digestate reporting may still need review.</t>
  </si>
  <si>
    <t>biomethane ratio = 1.09x; same digestate = False</t>
  </si>
  <si>
    <t>biomethane ratio = 1.61x; same digestate = False</t>
  </si>
  <si>
    <t>biomethane ratio = 2.45x; same digestate = False</t>
  </si>
  <si>
    <t>biomethane ratio = 2.30x; same digestate = False</t>
  </si>
  <si>
    <t>Thermal pretreatment annual utility</t>
  </si>
  <si>
    <t>$10,697,117/yr</t>
  </si>
  <si>
    <t>If zero, check heat utility accounting or reporting.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</si>
</sst>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80808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horizontal="center"/>
    </xf>
    <xf numFmtId="164" fontId="0" fillId="0" borderId="0" xfId="0" applyNumberFormat="1"/>
    <xf numFmtId="0" fontId="2" fillId="0" borderId="2" xfId="0" applyFont="1" applyBorder="1"/>
    <xf numFmtId="164" fontId="2" fillId="0" borderId="2" xfId="0" applyNumberFormat="1" applyFont="1" applyBorder="1"/>
    <xf numFmtId="164" fontId="2" fillId="4" borderId="1" xfId="0" applyNumberFormat="1" applyFont="1" applyFill="1" applyBorder="1" applyAlignment="1">
      <alignment horizontal="center"/>
    </xf>
    <xf numFmtId="3" fontId="0" fillId="0" borderId="0" xfId="0" applyNumberFormat="1"/>
    <xf numFmtId="2" fontId="0" fillId="0" borderId="0" xfId="0" applyNumberFormat="1"/>
    <xf numFmtId="0" fontId="2" fillId="3" borderId="0" xfId="0" applyFont="1" applyFill="1"/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10" customWidth="1"/>
    <col min="2" max="2" width="36" customWidth="1"/>
    <col min="3" max="6" width="18" customWidth="1"/>
  </cols>
  <sheetData>
    <row r="1" spans="1:6" ht="16" x14ac:dyDescent="0.2">
      <c r="A1" s="11" t="s">
        <v>0</v>
      </c>
      <c r="B1" s="9"/>
      <c r="C1" s="9"/>
      <c r="D1" s="9"/>
      <c r="E1" s="9"/>
      <c r="F1" s="9"/>
    </row>
    <row r="2" spans="1:6" x14ac:dyDescent="0.2">
      <c r="A2" t="s">
        <v>1</v>
      </c>
    </row>
    <row r="4" spans="1:6" x14ac:dyDescent="0.2">
      <c r="A4" s="8" t="s">
        <v>2</v>
      </c>
      <c r="B4" s="9"/>
      <c r="C4" s="9"/>
      <c r="D4" s="9"/>
      <c r="E4" s="9"/>
      <c r="F4" s="9"/>
    </row>
    <row r="5" spans="1: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">
      <c r="A6" t="s">
        <v>9</v>
      </c>
      <c r="B6" t="s">
        <v>10</v>
      </c>
      <c r="C6" s="2">
        <v>39362714.708597727</v>
      </c>
      <c r="D6" s="2">
        <v>0</v>
      </c>
      <c r="E6" s="2">
        <v>283111.2602268862</v>
      </c>
      <c r="F6" s="2">
        <v>283111.2602268862</v>
      </c>
    </row>
    <row r="7" spans="1:6" x14ac:dyDescent="0.2">
      <c r="A7" t="s">
        <v>11</v>
      </c>
      <c r="B7" t="s">
        <v>12</v>
      </c>
      <c r="C7" s="2">
        <v>1191165.224140354</v>
      </c>
      <c r="D7" s="2">
        <v>41690.782844912414</v>
      </c>
      <c r="E7" s="2">
        <v>129104.6810514972</v>
      </c>
      <c r="F7" s="2">
        <v>170795.46389640961</v>
      </c>
    </row>
    <row r="8" spans="1:6" x14ac:dyDescent="0.2">
      <c r="A8" t="s">
        <v>13</v>
      </c>
      <c r="B8" t="s">
        <v>14</v>
      </c>
      <c r="C8" s="2">
        <v>3334632.431373022</v>
      </c>
      <c r="D8" s="2">
        <v>0</v>
      </c>
      <c r="E8" s="2">
        <v>1387245.1751117429</v>
      </c>
      <c r="F8" s="2">
        <v>1387245.1751117429</v>
      </c>
    </row>
    <row r="9" spans="1:6" x14ac:dyDescent="0.2">
      <c r="A9" t="s">
        <v>15</v>
      </c>
      <c r="B9" t="s">
        <v>16</v>
      </c>
      <c r="C9" s="2">
        <v>140889529.11585939</v>
      </c>
      <c r="D9" s="2">
        <v>4204820.6666666688</v>
      </c>
      <c r="E9" s="2">
        <v>2102598.7301573842</v>
      </c>
      <c r="F9" s="2">
        <v>6307419.3968240526</v>
      </c>
    </row>
    <row r="10" spans="1:6" x14ac:dyDescent="0.2">
      <c r="A10" t="s">
        <v>17</v>
      </c>
      <c r="B10" t="s">
        <v>18</v>
      </c>
      <c r="C10" s="2">
        <v>2116904.9896621751</v>
      </c>
      <c r="D10" s="2">
        <v>245981.5080732847</v>
      </c>
      <c r="E10" s="2">
        <v>0</v>
      </c>
      <c r="F10" s="2">
        <v>245981.5080732847</v>
      </c>
    </row>
    <row r="11" spans="1:6" x14ac:dyDescent="0.2">
      <c r="A11" t="s">
        <v>19</v>
      </c>
      <c r="B11" t="s">
        <v>20</v>
      </c>
      <c r="C11" s="2">
        <v>33149424.622709461</v>
      </c>
      <c r="D11" s="2">
        <v>1160229.861794831</v>
      </c>
      <c r="E11" s="2">
        <v>2333056.5049462919</v>
      </c>
      <c r="F11" s="2">
        <v>3493286.3667411231</v>
      </c>
    </row>
    <row r="12" spans="1:6" x14ac:dyDescent="0.2">
      <c r="A12" t="s">
        <v>21</v>
      </c>
      <c r="B12" t="s">
        <v>22</v>
      </c>
      <c r="C12" s="2">
        <v>3126971.33</v>
      </c>
      <c r="D12" s="2">
        <v>0</v>
      </c>
      <c r="E12" s="2">
        <v>209796.9453874121</v>
      </c>
      <c r="F12" s="2">
        <v>209796.9453874121</v>
      </c>
    </row>
    <row r="13" spans="1:6" x14ac:dyDescent="0.2">
      <c r="A13" s="3" t="s">
        <v>23</v>
      </c>
      <c r="B13" s="3"/>
      <c r="C13" s="4">
        <f>SUM(C6:C12)</f>
        <v>223171342.42234212</v>
      </c>
      <c r="D13" s="4">
        <f>SUM(D6:D12)</f>
        <v>5652722.8193796966</v>
      </c>
      <c r="E13" s="4">
        <f>SUM(E6:E12)</f>
        <v>6444913.2968812138</v>
      </c>
      <c r="F13" s="4">
        <f>SUM(F6:F12)</f>
        <v>12097636.11626091</v>
      </c>
    </row>
    <row r="14" spans="1:6" x14ac:dyDescent="0.2">
      <c r="C14" s="2"/>
      <c r="D14" s="2"/>
      <c r="E14" s="2"/>
      <c r="F14" s="2"/>
    </row>
    <row r="15" spans="1:6" x14ac:dyDescent="0.2">
      <c r="A15" s="8" t="s">
        <v>24</v>
      </c>
      <c r="B15" s="9"/>
      <c r="C15" s="10"/>
      <c r="D15" s="10"/>
      <c r="E15" s="10"/>
      <c r="F15" s="10"/>
    </row>
    <row r="16" spans="1:6" x14ac:dyDescent="0.2">
      <c r="A16" s="1" t="s">
        <v>3</v>
      </c>
      <c r="B16" s="1" t="s">
        <v>4</v>
      </c>
      <c r="C16" s="5" t="s">
        <v>5</v>
      </c>
      <c r="D16" s="5" t="s">
        <v>6</v>
      </c>
      <c r="E16" s="5" t="s">
        <v>7</v>
      </c>
      <c r="F16" s="5" t="s">
        <v>8</v>
      </c>
    </row>
    <row r="17" spans="1:6" x14ac:dyDescent="0.2">
      <c r="A17" t="s">
        <v>9</v>
      </c>
      <c r="B17" t="s">
        <v>10</v>
      </c>
      <c r="C17" s="2">
        <v>39362714.708597727</v>
      </c>
      <c r="D17" s="2">
        <v>0</v>
      </c>
      <c r="E17" s="2">
        <v>283111.2602268862</v>
      </c>
      <c r="F17" s="2">
        <v>283111.2602268862</v>
      </c>
    </row>
    <row r="18" spans="1:6" x14ac:dyDescent="0.2">
      <c r="A18" t="s">
        <v>11</v>
      </c>
      <c r="B18" t="s">
        <v>12</v>
      </c>
      <c r="C18" s="2">
        <v>1191165.224140354</v>
      </c>
      <c r="D18" s="2">
        <v>41690.782844912414</v>
      </c>
      <c r="E18" s="2">
        <v>129104.6810514972</v>
      </c>
      <c r="F18" s="2">
        <v>170795.46389640961</v>
      </c>
    </row>
    <row r="19" spans="1:6" x14ac:dyDescent="0.2">
      <c r="A19" t="s">
        <v>13</v>
      </c>
      <c r="B19" t="s">
        <v>14</v>
      </c>
      <c r="C19" s="2">
        <v>3334632.431373022</v>
      </c>
      <c r="D19" s="2">
        <v>0</v>
      </c>
      <c r="E19" s="2">
        <v>1387245.1751117429</v>
      </c>
      <c r="F19" s="2">
        <v>1387245.1751117429</v>
      </c>
    </row>
    <row r="20" spans="1:6" x14ac:dyDescent="0.2">
      <c r="A20" t="s">
        <v>25</v>
      </c>
      <c r="B20" t="s">
        <v>26</v>
      </c>
      <c r="C20" s="2">
        <v>7280000</v>
      </c>
      <c r="D20" s="2">
        <v>2731819.4268750031</v>
      </c>
      <c r="E20" s="2">
        <v>0</v>
      </c>
      <c r="F20" s="2">
        <v>2731819.4268750031</v>
      </c>
    </row>
    <row r="21" spans="1:6" x14ac:dyDescent="0.2">
      <c r="A21" t="s">
        <v>15</v>
      </c>
      <c r="B21" t="s">
        <v>16</v>
      </c>
      <c r="C21" s="2">
        <v>140889529.11585939</v>
      </c>
      <c r="D21" s="2">
        <v>4204820.6666666688</v>
      </c>
      <c r="E21" s="2">
        <v>2102598.7301573842</v>
      </c>
      <c r="F21" s="2">
        <v>6307419.3968240526</v>
      </c>
    </row>
    <row r="22" spans="1:6" x14ac:dyDescent="0.2">
      <c r="A22" t="s">
        <v>17</v>
      </c>
      <c r="B22" t="s">
        <v>18</v>
      </c>
      <c r="C22" s="2">
        <v>1608584.98412382</v>
      </c>
      <c r="D22" s="2">
        <v>166163.18494507691</v>
      </c>
      <c r="E22" s="2">
        <v>0</v>
      </c>
      <c r="F22" s="2">
        <v>166163.18494507691</v>
      </c>
    </row>
    <row r="23" spans="1:6" x14ac:dyDescent="0.2">
      <c r="A23" t="s">
        <v>19</v>
      </c>
      <c r="B23" t="s">
        <v>20</v>
      </c>
      <c r="C23" s="2">
        <v>22392796.99336224</v>
      </c>
      <c r="D23" s="2">
        <v>783747.89476767846</v>
      </c>
      <c r="E23" s="2">
        <v>1576005.0523928341</v>
      </c>
      <c r="F23" s="2">
        <v>2359752.9471605131</v>
      </c>
    </row>
    <row r="24" spans="1:6" x14ac:dyDescent="0.2">
      <c r="A24" t="s">
        <v>21</v>
      </c>
      <c r="B24" t="s">
        <v>22</v>
      </c>
      <c r="C24" s="2">
        <v>3200547.1259999992</v>
      </c>
      <c r="D24" s="2">
        <v>0</v>
      </c>
      <c r="E24" s="2">
        <v>214746.69184395269</v>
      </c>
      <c r="F24" s="2">
        <v>214746.69184395269</v>
      </c>
    </row>
    <row r="25" spans="1:6" x14ac:dyDescent="0.2">
      <c r="A25" s="3" t="s">
        <v>23</v>
      </c>
      <c r="B25" s="3"/>
      <c r="C25" s="4">
        <f>SUM(C17:C24)</f>
        <v>219259970.58345655</v>
      </c>
      <c r="D25" s="4">
        <f>SUM(D17:D24)</f>
        <v>7928241.9560993398</v>
      </c>
      <c r="E25" s="4">
        <f>SUM(E17:E24)</f>
        <v>5692811.5907842973</v>
      </c>
      <c r="F25" s="4">
        <f>SUM(F17:F24)</f>
        <v>13621053.546883635</v>
      </c>
    </row>
    <row r="26" spans="1:6" x14ac:dyDescent="0.2">
      <c r="C26" s="2"/>
      <c r="D26" s="2"/>
      <c r="E26" s="2"/>
      <c r="F26" s="2"/>
    </row>
    <row r="27" spans="1:6" x14ac:dyDescent="0.2">
      <c r="A27" s="8" t="s">
        <v>27</v>
      </c>
      <c r="B27" s="9"/>
      <c r="C27" s="10"/>
      <c r="D27" s="10"/>
      <c r="E27" s="10"/>
      <c r="F27" s="10"/>
    </row>
    <row r="28" spans="1:6" x14ac:dyDescent="0.2">
      <c r="A28" s="1" t="s">
        <v>3</v>
      </c>
      <c r="B28" s="1" t="s">
        <v>4</v>
      </c>
      <c r="C28" s="5" t="s">
        <v>5</v>
      </c>
      <c r="D28" s="5" t="s">
        <v>6</v>
      </c>
      <c r="E28" s="5" t="s">
        <v>7</v>
      </c>
      <c r="F28" s="5" t="s">
        <v>8</v>
      </c>
    </row>
    <row r="29" spans="1:6" x14ac:dyDescent="0.2">
      <c r="A29" t="s">
        <v>9</v>
      </c>
      <c r="B29" t="s">
        <v>10</v>
      </c>
      <c r="C29" s="2">
        <v>39362714.708597727</v>
      </c>
      <c r="D29" s="2">
        <v>0</v>
      </c>
      <c r="E29" s="2">
        <v>283111.2602268862</v>
      </c>
      <c r="F29" s="2">
        <v>283111.2602268862</v>
      </c>
    </row>
    <row r="30" spans="1:6" x14ac:dyDescent="0.2">
      <c r="A30" t="s">
        <v>11</v>
      </c>
      <c r="B30" t="s">
        <v>12</v>
      </c>
      <c r="C30" s="2">
        <v>1191165.224140354</v>
      </c>
      <c r="D30" s="2">
        <v>41690.782844912414</v>
      </c>
      <c r="E30" s="2">
        <v>129104.6810514972</v>
      </c>
      <c r="F30" s="2">
        <v>170795.46389640961</v>
      </c>
    </row>
    <row r="31" spans="1:6" x14ac:dyDescent="0.2">
      <c r="A31" t="s">
        <v>13</v>
      </c>
      <c r="B31" t="s">
        <v>14</v>
      </c>
      <c r="C31" s="2">
        <v>3334632.431373022</v>
      </c>
      <c r="D31" s="2">
        <v>0</v>
      </c>
      <c r="E31" s="2">
        <v>1387245.1751117429</v>
      </c>
      <c r="F31" s="2">
        <v>1387245.1751117429</v>
      </c>
    </row>
    <row r="32" spans="1:6" x14ac:dyDescent="0.2">
      <c r="A32" t="s">
        <v>28</v>
      </c>
      <c r="B32" t="s">
        <v>29</v>
      </c>
      <c r="C32" s="2">
        <v>1000000</v>
      </c>
      <c r="D32" s="2">
        <v>5775846.7882500049</v>
      </c>
      <c r="E32" s="2">
        <v>0</v>
      </c>
      <c r="F32" s="2">
        <v>5775846.7882500049</v>
      </c>
    </row>
    <row r="33" spans="1:6" x14ac:dyDescent="0.2">
      <c r="A33" t="s">
        <v>15</v>
      </c>
      <c r="B33" t="s">
        <v>16</v>
      </c>
      <c r="C33" s="2">
        <v>140889529.11585939</v>
      </c>
      <c r="D33" s="2">
        <v>4204820.6666666688</v>
      </c>
      <c r="E33" s="2">
        <v>2102598.7301573842</v>
      </c>
      <c r="F33" s="2">
        <v>6307419.3968240526</v>
      </c>
    </row>
    <row r="34" spans="1:6" x14ac:dyDescent="0.2">
      <c r="A34" t="s">
        <v>17</v>
      </c>
      <c r="B34" t="s">
        <v>18</v>
      </c>
      <c r="C34" s="2">
        <v>2793859.7855112818</v>
      </c>
      <c r="D34" s="2">
        <v>365636.83875118347</v>
      </c>
      <c r="E34" s="2">
        <v>0</v>
      </c>
      <c r="F34" s="2">
        <v>365636.83875118347</v>
      </c>
    </row>
    <row r="35" spans="1:6" x14ac:dyDescent="0.2">
      <c r="A35" t="s">
        <v>19</v>
      </c>
      <c r="B35" t="s">
        <v>20</v>
      </c>
      <c r="C35" s="2">
        <v>49274642.311149083</v>
      </c>
      <c r="D35" s="2">
        <v>1724612.4808902179</v>
      </c>
      <c r="E35" s="2">
        <v>3467949.3258586721</v>
      </c>
      <c r="F35" s="2">
        <v>5192561.8067488894</v>
      </c>
    </row>
    <row r="36" spans="1:6" x14ac:dyDescent="0.2">
      <c r="A36" t="s">
        <v>21</v>
      </c>
      <c r="B36" t="s">
        <v>22</v>
      </c>
      <c r="C36" s="2">
        <v>3053395.534</v>
      </c>
      <c r="D36" s="2">
        <v>0</v>
      </c>
      <c r="E36" s="2">
        <v>206100.3823421461</v>
      </c>
      <c r="F36" s="2">
        <v>206100.3823421461</v>
      </c>
    </row>
    <row r="37" spans="1:6" x14ac:dyDescent="0.2">
      <c r="A37" s="3" t="s">
        <v>23</v>
      </c>
      <c r="B37" s="3"/>
      <c r="C37" s="4">
        <f>SUM(C29:C36)</f>
        <v>240899939.11063087</v>
      </c>
      <c r="D37" s="4">
        <f>SUM(D29:D36)</f>
        <v>12112607.557402989</v>
      </c>
      <c r="E37" s="4">
        <f>SUM(E29:E36)</f>
        <v>7576109.5547483284</v>
      </c>
      <c r="F37" s="4">
        <f>SUM(F29:F36)</f>
        <v>19688717.112151317</v>
      </c>
    </row>
    <row r="38" spans="1:6" x14ac:dyDescent="0.2">
      <c r="C38" s="2"/>
      <c r="D38" s="2"/>
      <c r="E38" s="2"/>
      <c r="F38" s="2"/>
    </row>
    <row r="39" spans="1:6" x14ac:dyDescent="0.2">
      <c r="A39" s="8" t="s">
        <v>30</v>
      </c>
      <c r="B39" s="9"/>
      <c r="C39" s="10"/>
      <c r="D39" s="10"/>
      <c r="E39" s="10"/>
      <c r="F39" s="10"/>
    </row>
    <row r="40" spans="1:6" x14ac:dyDescent="0.2">
      <c r="A40" s="1" t="s">
        <v>3</v>
      </c>
      <c r="B40" s="1" t="s">
        <v>4</v>
      </c>
      <c r="C40" s="5" t="s">
        <v>5</v>
      </c>
      <c r="D40" s="5" t="s">
        <v>6</v>
      </c>
      <c r="E40" s="5" t="s">
        <v>7</v>
      </c>
      <c r="F40" s="5" t="s">
        <v>8</v>
      </c>
    </row>
    <row r="41" spans="1:6" x14ac:dyDescent="0.2">
      <c r="A41" t="s">
        <v>9</v>
      </c>
      <c r="B41" t="s">
        <v>10</v>
      </c>
      <c r="C41" s="2">
        <v>39362714.708597727</v>
      </c>
      <c r="D41" s="2">
        <v>0</v>
      </c>
      <c r="E41" s="2">
        <v>283111.2602268862</v>
      </c>
      <c r="F41" s="2">
        <v>283111.2602268862</v>
      </c>
    </row>
    <row r="42" spans="1:6" x14ac:dyDescent="0.2">
      <c r="A42" t="s">
        <v>11</v>
      </c>
      <c r="B42" t="s">
        <v>12</v>
      </c>
      <c r="C42" s="2">
        <v>1191165.224140354</v>
      </c>
      <c r="D42" s="2">
        <v>41690.782844912414</v>
      </c>
      <c r="E42" s="2">
        <v>129104.6810514972</v>
      </c>
      <c r="F42" s="2">
        <v>170795.46389640961</v>
      </c>
    </row>
    <row r="43" spans="1:6" x14ac:dyDescent="0.2">
      <c r="A43" t="s">
        <v>13</v>
      </c>
      <c r="B43" t="s">
        <v>14</v>
      </c>
      <c r="C43" s="2">
        <v>3334632.431373022</v>
      </c>
      <c r="D43" s="2">
        <v>0</v>
      </c>
      <c r="E43" s="2">
        <v>1387245.1751117429</v>
      </c>
      <c r="F43" s="2">
        <v>1387245.1751117429</v>
      </c>
    </row>
    <row r="44" spans="1:6" x14ac:dyDescent="0.2">
      <c r="A44" t="s">
        <v>28</v>
      </c>
      <c r="B44" t="s">
        <v>29</v>
      </c>
      <c r="C44" s="2">
        <v>1000000</v>
      </c>
      <c r="D44" s="2">
        <v>5775846.7882500049</v>
      </c>
      <c r="E44" s="2">
        <v>0</v>
      </c>
      <c r="F44" s="2">
        <v>5775846.7882500049</v>
      </c>
    </row>
    <row r="45" spans="1:6" x14ac:dyDescent="0.2">
      <c r="A45" t="s">
        <v>25</v>
      </c>
      <c r="B45" t="s">
        <v>26</v>
      </c>
      <c r="C45" s="2">
        <v>7280000</v>
      </c>
      <c r="D45" s="2">
        <v>2731819.4268750031</v>
      </c>
      <c r="E45" s="2">
        <v>0</v>
      </c>
      <c r="F45" s="2">
        <v>2731819.4268750031</v>
      </c>
    </row>
    <row r="46" spans="1:6" x14ac:dyDescent="0.2">
      <c r="A46" t="s">
        <v>15</v>
      </c>
      <c r="B46" t="s">
        <v>16</v>
      </c>
      <c r="C46" s="2">
        <v>140889529.11585939</v>
      </c>
      <c r="D46" s="2">
        <v>4204820.6666666688</v>
      </c>
      <c r="E46" s="2">
        <v>2102598.7301573842</v>
      </c>
      <c r="F46" s="2">
        <v>6307419.3968240526</v>
      </c>
    </row>
    <row r="47" spans="1:6" x14ac:dyDescent="0.2">
      <c r="A47" t="s">
        <v>17</v>
      </c>
      <c r="B47" t="s">
        <v>18</v>
      </c>
      <c r="C47" s="2">
        <v>2796835.6649744608</v>
      </c>
      <c r="D47" s="2">
        <v>366193.33434484032</v>
      </c>
      <c r="E47" s="2">
        <v>0</v>
      </c>
      <c r="F47" s="2">
        <v>366193.33434484032</v>
      </c>
    </row>
    <row r="48" spans="1:6" x14ac:dyDescent="0.2">
      <c r="A48" t="s">
        <v>19</v>
      </c>
      <c r="B48" t="s">
        <v>20</v>
      </c>
      <c r="C48" s="2">
        <v>49349637.821499787</v>
      </c>
      <c r="D48" s="2">
        <v>1727237.3237524929</v>
      </c>
      <c r="E48" s="2">
        <v>3473227.509877156</v>
      </c>
      <c r="F48" s="2">
        <v>5200464.8336296482</v>
      </c>
    </row>
    <row r="49" spans="1:6" x14ac:dyDescent="0.2">
      <c r="A49" t="s">
        <v>21</v>
      </c>
      <c r="B49" t="s">
        <v>22</v>
      </c>
      <c r="C49" s="2">
        <v>3126971.33</v>
      </c>
      <c r="D49" s="2">
        <v>0</v>
      </c>
      <c r="E49" s="2">
        <v>210270.34558600289</v>
      </c>
      <c r="F49" s="2">
        <v>210270.34558600289</v>
      </c>
    </row>
    <row r="50" spans="1:6" x14ac:dyDescent="0.2">
      <c r="A50" s="3" t="s">
        <v>23</v>
      </c>
      <c r="B50" s="3"/>
      <c r="C50" s="4">
        <f>SUM(C41:C49)</f>
        <v>248331486.29644474</v>
      </c>
      <c r="D50" s="4">
        <f>SUM(D41:D49)</f>
        <v>14847608.322733922</v>
      </c>
      <c r="E50" s="4">
        <f>SUM(E41:E49)</f>
        <v>7585557.7020106697</v>
      </c>
      <c r="F50" s="4">
        <f>SUM(F41:F49)</f>
        <v>22433166.024744593</v>
      </c>
    </row>
    <row r="51" spans="1:6" x14ac:dyDescent="0.2">
      <c r="C51" s="2"/>
      <c r="D51" s="2"/>
      <c r="E51" s="2"/>
      <c r="F51" s="2"/>
    </row>
    <row r="52" spans="1:6" x14ac:dyDescent="0.2">
      <c r="A52" s="8" t="s">
        <v>31</v>
      </c>
      <c r="B52" s="9"/>
      <c r="C52" s="10"/>
      <c r="D52" s="10"/>
      <c r="E52" s="10"/>
      <c r="F52" s="10"/>
    </row>
    <row r="53" spans="1:6" x14ac:dyDescent="0.2">
      <c r="A53" s="1" t="s">
        <v>3</v>
      </c>
      <c r="B53" s="1" t="s">
        <v>4</v>
      </c>
      <c r="C53" s="5" t="s">
        <v>5</v>
      </c>
      <c r="D53" s="5" t="s">
        <v>6</v>
      </c>
      <c r="E53" s="5" t="s">
        <v>7</v>
      </c>
      <c r="F53" s="5" t="s">
        <v>8</v>
      </c>
    </row>
    <row r="54" spans="1:6" x14ac:dyDescent="0.2">
      <c r="A54" t="s">
        <v>9</v>
      </c>
      <c r="B54" t="s">
        <v>10</v>
      </c>
      <c r="C54" s="2">
        <v>39362714.708597727</v>
      </c>
      <c r="D54" s="2">
        <v>0</v>
      </c>
      <c r="E54" s="2">
        <v>283111.2602268862</v>
      </c>
      <c r="F54" s="2">
        <v>283111.2602268862</v>
      </c>
    </row>
    <row r="55" spans="1:6" x14ac:dyDescent="0.2">
      <c r="A55" t="s">
        <v>11</v>
      </c>
      <c r="B55" t="s">
        <v>12</v>
      </c>
      <c r="C55" s="2">
        <v>1191165.224140354</v>
      </c>
      <c r="D55" s="2">
        <v>41690.782844912414</v>
      </c>
      <c r="E55" s="2">
        <v>129104.6810514972</v>
      </c>
      <c r="F55" s="2">
        <v>170795.46389640961</v>
      </c>
    </row>
    <row r="56" spans="1:6" x14ac:dyDescent="0.2">
      <c r="A56" t="s">
        <v>13</v>
      </c>
      <c r="B56" t="s">
        <v>14</v>
      </c>
      <c r="C56" s="2">
        <v>3334632.431373022</v>
      </c>
      <c r="D56" s="2">
        <v>0</v>
      </c>
      <c r="E56" s="2">
        <v>1387245.1751117429</v>
      </c>
      <c r="F56" s="2">
        <v>1387245.1751117429</v>
      </c>
    </row>
    <row r="57" spans="1:6" x14ac:dyDescent="0.2">
      <c r="A57" t="s">
        <v>28</v>
      </c>
      <c r="B57" t="s">
        <v>29</v>
      </c>
      <c r="C57" s="2">
        <v>1000000</v>
      </c>
      <c r="D57" s="2">
        <v>5775846.7882500049</v>
      </c>
      <c r="E57" s="2">
        <v>0</v>
      </c>
      <c r="F57" s="2">
        <v>5775846.7882500049</v>
      </c>
    </row>
    <row r="58" spans="1:6" x14ac:dyDescent="0.2">
      <c r="A58" t="s">
        <v>32</v>
      </c>
      <c r="B58" t="s">
        <v>33</v>
      </c>
      <c r="C58" s="2">
        <v>1200000</v>
      </c>
      <c r="D58" s="2">
        <v>42000.000000000007</v>
      </c>
      <c r="E58" s="2">
        <v>10697116.954893149</v>
      </c>
      <c r="F58" s="2">
        <v>10739116.954893149</v>
      </c>
    </row>
    <row r="59" spans="1:6" x14ac:dyDescent="0.2">
      <c r="A59" t="s">
        <v>25</v>
      </c>
      <c r="B59" t="s">
        <v>26</v>
      </c>
      <c r="C59" s="2">
        <v>7280000</v>
      </c>
      <c r="D59" s="2">
        <v>2731819.4268750031</v>
      </c>
      <c r="E59" s="2">
        <v>0</v>
      </c>
      <c r="F59" s="2">
        <v>2731819.4268750031</v>
      </c>
    </row>
    <row r="60" spans="1:6" x14ac:dyDescent="0.2">
      <c r="A60" t="s">
        <v>15</v>
      </c>
      <c r="B60" t="s">
        <v>16</v>
      </c>
      <c r="C60" s="2">
        <v>140889529.11585939</v>
      </c>
      <c r="D60" s="2">
        <v>4204820.6666666688</v>
      </c>
      <c r="E60" s="2">
        <v>2102598.7301573842</v>
      </c>
      <c r="F60" s="2">
        <v>6307419.3968240526</v>
      </c>
    </row>
    <row r="61" spans="1:6" x14ac:dyDescent="0.2">
      <c r="A61" t="s">
        <v>17</v>
      </c>
      <c r="B61" t="s">
        <v>18</v>
      </c>
      <c r="C61" s="2">
        <v>2655273.2507482548</v>
      </c>
      <c r="D61" s="2">
        <v>340004.84688276768</v>
      </c>
      <c r="E61" s="2">
        <v>0</v>
      </c>
      <c r="F61" s="2">
        <v>340004.84688276768</v>
      </c>
    </row>
    <row r="62" spans="1:6" x14ac:dyDescent="0.2">
      <c r="A62" t="s">
        <v>19</v>
      </c>
      <c r="B62" t="s">
        <v>20</v>
      </c>
      <c r="C62" s="2">
        <v>45820375.406992987</v>
      </c>
      <c r="D62" s="2">
        <v>1603713.139244755</v>
      </c>
      <c r="E62" s="2">
        <v>3224838.0211441671</v>
      </c>
      <c r="F62" s="2">
        <v>4828551.1603889223</v>
      </c>
    </row>
    <row r="63" spans="1:6" x14ac:dyDescent="0.2">
      <c r="A63" t="s">
        <v>21</v>
      </c>
      <c r="B63" t="s">
        <v>22</v>
      </c>
      <c r="C63" s="2">
        <v>3126971.33</v>
      </c>
      <c r="D63" s="2">
        <v>0</v>
      </c>
      <c r="E63" s="2">
        <v>211012.1592302685</v>
      </c>
      <c r="F63" s="2">
        <v>211012.1592302685</v>
      </c>
    </row>
    <row r="64" spans="1:6" x14ac:dyDescent="0.2">
      <c r="A64" s="3" t="s">
        <v>23</v>
      </c>
      <c r="B64" s="3"/>
      <c r="C64" s="4">
        <f>SUM(C54:C63)</f>
        <v>245860661.46771172</v>
      </c>
      <c r="D64" s="4">
        <f>SUM(D54:D63)</f>
        <v>14739895.650764113</v>
      </c>
      <c r="E64" s="4">
        <f>SUM(E54:E63)</f>
        <v>18035026.981815096</v>
      </c>
      <c r="F64" s="4">
        <f>SUM(F54:F63)</f>
        <v>32774922.632579207</v>
      </c>
    </row>
  </sheetData>
  <mergeCells count="6">
    <mergeCell ref="A52:F52"/>
    <mergeCell ref="A1:F1"/>
    <mergeCell ref="A27:F27"/>
    <mergeCell ref="A4:F4"/>
    <mergeCell ref="A39:F39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opLeftCell="A15" workbookViewId="0">
      <selection activeCell="C19" sqref="C19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6" customWidth="1"/>
    <col min="4" max="5" width="13" customWidth="1"/>
    <col min="6" max="6" width="14" customWidth="1"/>
    <col min="7" max="7" width="38" customWidth="1"/>
  </cols>
  <sheetData>
    <row r="1" spans="1:7" ht="16" x14ac:dyDescent="0.2">
      <c r="A1" s="11" t="s">
        <v>34</v>
      </c>
      <c r="B1" s="9"/>
      <c r="C1" s="9"/>
      <c r="D1" s="9"/>
      <c r="E1" s="9"/>
      <c r="F1" s="9"/>
      <c r="G1" s="9"/>
    </row>
    <row r="2" spans="1:7" x14ac:dyDescent="0.2">
      <c r="A2" t="s">
        <v>35</v>
      </c>
    </row>
    <row r="4" spans="1:7" x14ac:dyDescent="0.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</row>
    <row r="5" spans="1:7" x14ac:dyDescent="0.2">
      <c r="A5" t="s">
        <v>43</v>
      </c>
      <c r="B5" t="s">
        <v>44</v>
      </c>
      <c r="C5" s="6">
        <v>625000.00000000012</v>
      </c>
      <c r="D5" s="7">
        <v>86.72999999999999</v>
      </c>
      <c r="E5" s="7">
        <v>13.270000000000019</v>
      </c>
      <c r="F5" s="7"/>
      <c r="G5" t="s">
        <v>45</v>
      </c>
    </row>
    <row r="6" spans="1:7" x14ac:dyDescent="0.2">
      <c r="B6" t="s">
        <v>46</v>
      </c>
      <c r="C6" s="6">
        <v>542062.5</v>
      </c>
      <c r="D6" s="7"/>
      <c r="E6" s="7"/>
      <c r="F6" s="7"/>
    </row>
    <row r="7" spans="1:7" x14ac:dyDescent="0.2">
      <c r="B7" t="s">
        <v>47</v>
      </c>
      <c r="C7" s="6">
        <v>28638.318750000009</v>
      </c>
      <c r="D7" s="7"/>
      <c r="E7" s="7"/>
      <c r="F7" s="7"/>
    </row>
    <row r="8" spans="1:7" x14ac:dyDescent="0.2">
      <c r="B8" t="s">
        <v>48</v>
      </c>
      <c r="C8" s="6">
        <v>9126.9634613170656</v>
      </c>
      <c r="D8" s="7"/>
      <c r="E8" s="7"/>
      <c r="F8" s="7"/>
    </row>
    <row r="9" spans="1:7" x14ac:dyDescent="0.2">
      <c r="B9" t="s">
        <v>49</v>
      </c>
      <c r="C9" s="6">
        <v>8708.123357270324</v>
      </c>
      <c r="D9" s="7"/>
      <c r="E9" s="7"/>
      <c r="F9" s="7"/>
    </row>
    <row r="10" spans="1:7" x14ac:dyDescent="0.2">
      <c r="B10" t="s">
        <v>50</v>
      </c>
      <c r="C10" s="6">
        <v>4144.6416266117903</v>
      </c>
      <c r="D10" s="7"/>
      <c r="E10" s="7"/>
      <c r="F10" s="7"/>
    </row>
    <row r="11" spans="1:7" x14ac:dyDescent="0.2">
      <c r="B11" t="s">
        <v>51</v>
      </c>
      <c r="C11" s="6">
        <v>1656.6063816774131</v>
      </c>
      <c r="D11" s="7"/>
      <c r="E11" s="7"/>
      <c r="F11" s="7"/>
    </row>
    <row r="12" spans="1:7" x14ac:dyDescent="0.2">
      <c r="B12" t="s">
        <v>52</v>
      </c>
      <c r="C12" s="6">
        <v>6270.0988710280944</v>
      </c>
      <c r="D12" s="7"/>
      <c r="E12" s="7"/>
      <c r="F12" s="7"/>
    </row>
    <row r="13" spans="1:7" x14ac:dyDescent="0.2">
      <c r="B13" t="s">
        <v>53</v>
      </c>
      <c r="C13" s="6">
        <v>24392.747552095341</v>
      </c>
      <c r="D13" s="7"/>
      <c r="E13" s="7"/>
      <c r="F13" s="7"/>
    </row>
    <row r="14" spans="1:7" x14ac:dyDescent="0.2">
      <c r="A14" t="s">
        <v>54</v>
      </c>
      <c r="B14" t="s">
        <v>55</v>
      </c>
      <c r="C14" s="6">
        <v>525602.5833333336</v>
      </c>
      <c r="D14" s="7"/>
      <c r="E14" s="7"/>
      <c r="F14" s="7"/>
      <c r="G14" t="s">
        <v>56</v>
      </c>
    </row>
    <row r="15" spans="1:7" x14ac:dyDescent="0.2">
      <c r="B15" t="s">
        <v>57</v>
      </c>
      <c r="C15" s="6">
        <v>23937.692907303059</v>
      </c>
      <c r="D15" s="7"/>
      <c r="E15" s="7"/>
      <c r="F15" s="7"/>
    </row>
    <row r="16" spans="1:7" x14ac:dyDescent="0.2">
      <c r="B16" t="s">
        <v>58</v>
      </c>
      <c r="C16" s="6"/>
      <c r="D16" s="7"/>
      <c r="E16" s="7"/>
      <c r="F16" s="7">
        <v>0.1</v>
      </c>
      <c r="G16" t="s">
        <v>59</v>
      </c>
    </row>
    <row r="17" spans="1:7" x14ac:dyDescent="0.2">
      <c r="A17" t="s">
        <v>60</v>
      </c>
      <c r="B17" t="s">
        <v>55</v>
      </c>
      <c r="C17" s="6">
        <v>21286.394643226449</v>
      </c>
      <c r="D17" s="7"/>
      <c r="E17" s="7"/>
      <c r="F17" s="7">
        <v>15529.135610687161</v>
      </c>
      <c r="G17" t="s">
        <v>61</v>
      </c>
    </row>
    <row r="18" spans="1:7" x14ac:dyDescent="0.2">
      <c r="B18" t="s">
        <v>62</v>
      </c>
      <c r="C18" s="6">
        <v>5161.6801696250059</v>
      </c>
      <c r="D18" s="7"/>
      <c r="E18" s="7"/>
      <c r="F18" s="7">
        <v>46.439999999999991</v>
      </c>
      <c r="G18" t="s">
        <v>63</v>
      </c>
    </row>
    <row r="19" spans="1:7" x14ac:dyDescent="0.2">
      <c r="B19" t="s">
        <v>64</v>
      </c>
      <c r="C19" s="6">
        <v>15416.344784231111</v>
      </c>
      <c r="D19" s="7"/>
      <c r="E19" s="7"/>
      <c r="F19" s="7">
        <v>50.56</v>
      </c>
      <c r="G19" t="s">
        <v>63</v>
      </c>
    </row>
    <row r="20" spans="1:7" x14ac:dyDescent="0.2">
      <c r="B20" t="s">
        <v>65</v>
      </c>
      <c r="C20" s="6">
        <v>708.3696893703343</v>
      </c>
      <c r="D20" s="7"/>
      <c r="E20" s="7"/>
      <c r="F20" s="7">
        <v>3</v>
      </c>
      <c r="G20" t="s">
        <v>63</v>
      </c>
    </row>
    <row r="21" spans="1:7" x14ac:dyDescent="0.2">
      <c r="A21" t="s">
        <v>66</v>
      </c>
      <c r="B21" t="s">
        <v>55</v>
      </c>
      <c r="C21" s="6">
        <v>20585.108650749818</v>
      </c>
      <c r="D21" s="7"/>
      <c r="E21" s="7"/>
      <c r="F21" s="7"/>
      <c r="G21" t="s">
        <v>67</v>
      </c>
    </row>
    <row r="22" spans="1:7" x14ac:dyDescent="0.2">
      <c r="B22" t="s">
        <v>68</v>
      </c>
      <c r="C22" s="6"/>
      <c r="D22" s="7"/>
      <c r="E22" s="7"/>
      <c r="F22" s="7">
        <v>309.18272699165112</v>
      </c>
      <c r="G22" t="s">
        <v>69</v>
      </c>
    </row>
    <row r="23" spans="1:7" x14ac:dyDescent="0.2">
      <c r="A23" t="s">
        <v>70</v>
      </c>
      <c r="B23" t="s">
        <v>55</v>
      </c>
      <c r="C23" s="6">
        <v>5880.8806071403123</v>
      </c>
      <c r="D23" s="7"/>
      <c r="E23" s="7"/>
      <c r="F23" s="7"/>
      <c r="G23" t="s">
        <v>71</v>
      </c>
    </row>
    <row r="24" spans="1:7" x14ac:dyDescent="0.2">
      <c r="B24" t="s">
        <v>62</v>
      </c>
      <c r="C24" s="6">
        <v>5110.0633679287557</v>
      </c>
      <c r="D24" s="7"/>
      <c r="E24" s="7"/>
      <c r="F24" s="7">
        <v>94.788015734914524</v>
      </c>
      <c r="G24" t="s">
        <v>63</v>
      </c>
    </row>
    <row r="25" spans="1:7" x14ac:dyDescent="0.2">
      <c r="B25" t="s">
        <v>72</v>
      </c>
      <c r="C25" s="6">
        <v>770.81723921155617</v>
      </c>
      <c r="D25" s="7"/>
      <c r="E25" s="7"/>
      <c r="F25" s="7">
        <v>5.2119842650854826</v>
      </c>
      <c r="G25" t="s">
        <v>63</v>
      </c>
    </row>
    <row r="26" spans="1:7" x14ac:dyDescent="0.2">
      <c r="A26" t="s">
        <v>73</v>
      </c>
      <c r="B26" t="s">
        <v>74</v>
      </c>
      <c r="C26" s="6">
        <v>6788.6679979195324</v>
      </c>
      <c r="D26" s="7">
        <v>84.019489072298896</v>
      </c>
      <c r="E26" s="7">
        <v>15.980510927701101</v>
      </c>
      <c r="F26" s="7"/>
      <c r="G26" t="s">
        <v>75</v>
      </c>
    </row>
    <row r="27" spans="1:7" x14ac:dyDescent="0.2">
      <c r="B27" t="s">
        <v>46</v>
      </c>
      <c r="C27" s="6">
        <v>5703.8041666666541</v>
      </c>
      <c r="D27" s="7"/>
      <c r="E27" s="7"/>
      <c r="F27" s="7"/>
    </row>
    <row r="28" spans="1:7" x14ac:dyDescent="0.2">
      <c r="B28" t="s">
        <v>49</v>
      </c>
      <c r="C28" s="6">
        <v>165.45434378813621</v>
      </c>
      <c r="D28" s="7"/>
      <c r="E28" s="7"/>
      <c r="F28" s="7"/>
    </row>
    <row r="29" spans="1:7" x14ac:dyDescent="0.2">
      <c r="B29" t="s">
        <v>50</v>
      </c>
      <c r="C29" s="6">
        <v>78.748190905624043</v>
      </c>
      <c r="D29" s="7"/>
      <c r="E29" s="7"/>
      <c r="F29" s="7"/>
    </row>
    <row r="30" spans="1:7" x14ac:dyDescent="0.2">
      <c r="B30" t="s">
        <v>51</v>
      </c>
      <c r="C30" s="6">
        <v>31.47552125187077</v>
      </c>
      <c r="D30" s="7"/>
      <c r="E30" s="7"/>
      <c r="F30" s="7"/>
    </row>
    <row r="31" spans="1:7" x14ac:dyDescent="0.2">
      <c r="B31" t="s">
        <v>52</v>
      </c>
      <c r="C31" s="6">
        <v>119.1318785495336</v>
      </c>
      <c r="D31" s="7"/>
      <c r="E31" s="7"/>
      <c r="F31" s="7"/>
    </row>
    <row r="32" spans="1:7" x14ac:dyDescent="0.2">
      <c r="B32" t="s">
        <v>53</v>
      </c>
      <c r="C32" s="6">
        <v>463.46220348981171</v>
      </c>
      <c r="D32" s="7"/>
      <c r="E32" s="7"/>
      <c r="F32" s="7"/>
    </row>
    <row r="33" spans="1:7" x14ac:dyDescent="0.2">
      <c r="A33" t="s">
        <v>76</v>
      </c>
      <c r="B33" t="s">
        <v>55</v>
      </c>
      <c r="C33" s="6">
        <v>53856.6173953014</v>
      </c>
      <c r="D33" s="7">
        <v>45</v>
      </c>
      <c r="E33" s="7">
        <v>55</v>
      </c>
      <c r="F33" s="7"/>
      <c r="G33" t="s">
        <v>77</v>
      </c>
    </row>
    <row r="34" spans="1:7" x14ac:dyDescent="0.2">
      <c r="B34" t="s">
        <v>46</v>
      </c>
      <c r="C34" s="6">
        <v>24235.477827885628</v>
      </c>
      <c r="D34" s="7"/>
      <c r="E34" s="7"/>
      <c r="F34" s="7"/>
    </row>
    <row r="35" spans="1:7" x14ac:dyDescent="0.2">
      <c r="B35" t="s">
        <v>47</v>
      </c>
      <c r="C35" s="6">
        <v>10889.43432150001</v>
      </c>
      <c r="D35" s="7"/>
      <c r="E35" s="7"/>
      <c r="F35" s="7"/>
    </row>
    <row r="36" spans="1:7" x14ac:dyDescent="0.2">
      <c r="B36" t="s">
        <v>48</v>
      </c>
      <c r="C36" s="6">
        <v>2949.8710985515208</v>
      </c>
      <c r="D36" s="7"/>
      <c r="E36" s="7"/>
      <c r="F36" s="7"/>
    </row>
    <row r="37" spans="1:7" x14ac:dyDescent="0.2">
      <c r="B37" t="s">
        <v>49</v>
      </c>
      <c r="C37" s="6">
        <v>3013.1709110853062</v>
      </c>
      <c r="D37" s="7"/>
      <c r="E37" s="7"/>
      <c r="F37" s="7"/>
    </row>
    <row r="38" spans="1:7" x14ac:dyDescent="0.2">
      <c r="B38" t="s">
        <v>50</v>
      </c>
      <c r="C38" s="6">
        <v>1465.6414348556659</v>
      </c>
      <c r="D38" s="7"/>
      <c r="E38" s="7"/>
      <c r="F38" s="7"/>
    </row>
    <row r="39" spans="1:7" x14ac:dyDescent="0.2">
      <c r="B39" t="s">
        <v>51</v>
      </c>
      <c r="C39" s="6">
        <v>510.22548856090572</v>
      </c>
      <c r="D39" s="7"/>
      <c r="E39" s="7"/>
      <c r="F39" s="7"/>
    </row>
    <row r="40" spans="1:7" x14ac:dyDescent="0.2">
      <c r="B40" t="s">
        <v>52</v>
      </c>
      <c r="C40" s="6">
        <v>2074.2038834061591</v>
      </c>
      <c r="D40" s="7"/>
      <c r="E40" s="7"/>
      <c r="F40" s="7"/>
    </row>
    <row r="41" spans="1:7" x14ac:dyDescent="0.2">
      <c r="B41" t="s">
        <v>53</v>
      </c>
      <c r="C41" s="6">
        <v>8718.5924294562083</v>
      </c>
      <c r="D41" s="7"/>
      <c r="E41" s="7"/>
      <c r="F41" s="7"/>
    </row>
    <row r="42" spans="1:7" x14ac:dyDescent="0.2">
      <c r="A42" t="s">
        <v>78</v>
      </c>
      <c r="B42" t="s">
        <v>55</v>
      </c>
      <c r="C42" s="6">
        <v>450459.57129480568</v>
      </c>
      <c r="D42" s="7">
        <v>90.136360245735531</v>
      </c>
      <c r="E42" s="7">
        <v>9.8636397542644616</v>
      </c>
      <c r="F42" s="7"/>
      <c r="G42" t="s">
        <v>79</v>
      </c>
    </row>
    <row r="43" spans="1:7" x14ac:dyDescent="0.2">
      <c r="B43" t="s">
        <v>46</v>
      </c>
      <c r="C43" s="6">
        <v>406027.86194368202</v>
      </c>
      <c r="D43" s="7"/>
      <c r="E43" s="7"/>
      <c r="F43" s="7"/>
    </row>
    <row r="44" spans="1:7" x14ac:dyDescent="0.2">
      <c r="B44" t="s">
        <v>47</v>
      </c>
      <c r="C44" s="6">
        <v>16334.15148225001</v>
      </c>
      <c r="D44" s="7"/>
      <c r="E44" s="7"/>
      <c r="F44" s="7"/>
    </row>
    <row r="45" spans="1:7" x14ac:dyDescent="0.2">
      <c r="B45" t="s">
        <v>48</v>
      </c>
      <c r="C45" s="6">
        <v>4424.8066478272813</v>
      </c>
      <c r="D45" s="7"/>
      <c r="E45" s="7"/>
      <c r="F45" s="7"/>
    </row>
    <row r="46" spans="1:7" x14ac:dyDescent="0.2">
      <c r="B46" t="s">
        <v>49</v>
      </c>
      <c r="C46" s="6">
        <v>4519.7563666279584</v>
      </c>
      <c r="D46" s="7"/>
      <c r="E46" s="7"/>
      <c r="F46" s="7"/>
    </row>
    <row r="47" spans="1:7" x14ac:dyDescent="0.2">
      <c r="B47" t="s">
        <v>50</v>
      </c>
      <c r="C47" s="6">
        <v>2198.4621522835</v>
      </c>
      <c r="D47" s="7"/>
      <c r="E47" s="7"/>
      <c r="F47" s="7"/>
    </row>
    <row r="48" spans="1:7" x14ac:dyDescent="0.2">
      <c r="B48" t="s">
        <v>51</v>
      </c>
      <c r="C48" s="6">
        <v>765.3382328413586</v>
      </c>
      <c r="D48" s="7"/>
      <c r="E48" s="7"/>
      <c r="F48" s="7"/>
    </row>
    <row r="49" spans="1:6" x14ac:dyDescent="0.2">
      <c r="B49" t="s">
        <v>52</v>
      </c>
      <c r="C49" s="6">
        <v>3111.305825109238</v>
      </c>
      <c r="D49" s="7"/>
      <c r="E49" s="7"/>
      <c r="F49" s="7"/>
    </row>
    <row r="50" spans="1:6" x14ac:dyDescent="0.2">
      <c r="B50" t="s">
        <v>53</v>
      </c>
      <c r="C50" s="6">
        <v>13077.88864418431</v>
      </c>
      <c r="D50" s="7"/>
      <c r="E50" s="7"/>
      <c r="F50" s="7"/>
    </row>
    <row r="51" spans="1:6" x14ac:dyDescent="0.2">
      <c r="C51" s="6"/>
      <c r="D51" s="7"/>
      <c r="E51" s="7"/>
      <c r="F51" s="7"/>
    </row>
    <row r="52" spans="1:6" x14ac:dyDescent="0.2">
      <c r="A52" t="s">
        <v>80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topLeftCell="A25" workbookViewId="0">
      <selection sqref="A1:G1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6" customWidth="1"/>
    <col min="4" max="5" width="13" customWidth="1"/>
    <col min="6" max="6" width="14" customWidth="1"/>
    <col min="7" max="7" width="38" customWidth="1"/>
  </cols>
  <sheetData>
    <row r="1" spans="1:7" ht="16" x14ac:dyDescent="0.2">
      <c r="A1" s="11" t="s">
        <v>81</v>
      </c>
      <c r="B1" s="9"/>
      <c r="C1" s="9"/>
      <c r="D1" s="9"/>
      <c r="E1" s="9"/>
      <c r="F1" s="9"/>
      <c r="G1" s="9"/>
    </row>
    <row r="2" spans="1:7" x14ac:dyDescent="0.2">
      <c r="A2" t="s">
        <v>35</v>
      </c>
    </row>
    <row r="4" spans="1:7" x14ac:dyDescent="0.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</row>
    <row r="5" spans="1:7" x14ac:dyDescent="0.2">
      <c r="A5" t="s">
        <v>43</v>
      </c>
      <c r="B5" t="s">
        <v>44</v>
      </c>
      <c r="C5" s="6">
        <v>625000.00000000012</v>
      </c>
      <c r="D5" s="7">
        <v>86.72999999999999</v>
      </c>
      <c r="E5" s="7">
        <v>13.270000000000019</v>
      </c>
      <c r="F5" s="7"/>
      <c r="G5" t="s">
        <v>45</v>
      </c>
    </row>
    <row r="6" spans="1:7" x14ac:dyDescent="0.2">
      <c r="B6" t="s">
        <v>46</v>
      </c>
      <c r="C6" s="6">
        <v>542062.5</v>
      </c>
      <c r="D6" s="7"/>
      <c r="E6" s="7"/>
      <c r="F6" s="7"/>
    </row>
    <row r="7" spans="1:7" x14ac:dyDescent="0.2">
      <c r="B7" t="s">
        <v>47</v>
      </c>
      <c r="C7" s="6">
        <v>28638.318750000009</v>
      </c>
      <c r="D7" s="7"/>
      <c r="E7" s="7"/>
      <c r="F7" s="7"/>
    </row>
    <row r="8" spans="1:7" x14ac:dyDescent="0.2">
      <c r="B8" t="s">
        <v>48</v>
      </c>
      <c r="C8" s="6">
        <v>9126.9634613170656</v>
      </c>
      <c r="D8" s="7"/>
      <c r="E8" s="7"/>
      <c r="F8" s="7"/>
    </row>
    <row r="9" spans="1:7" x14ac:dyDescent="0.2">
      <c r="B9" t="s">
        <v>49</v>
      </c>
      <c r="C9" s="6">
        <v>8708.123357270324</v>
      </c>
      <c r="D9" s="7"/>
      <c r="E9" s="7"/>
      <c r="F9" s="7"/>
    </row>
    <row r="10" spans="1:7" x14ac:dyDescent="0.2">
      <c r="B10" t="s">
        <v>50</v>
      </c>
      <c r="C10" s="6">
        <v>4144.6416266117903</v>
      </c>
      <c r="D10" s="7"/>
      <c r="E10" s="7"/>
      <c r="F10" s="7"/>
    </row>
    <row r="11" spans="1:7" x14ac:dyDescent="0.2">
      <c r="B11" t="s">
        <v>51</v>
      </c>
      <c r="C11" s="6">
        <v>1656.6063816774131</v>
      </c>
      <c r="D11" s="7"/>
      <c r="E11" s="7"/>
      <c r="F11" s="7"/>
    </row>
    <row r="12" spans="1:7" x14ac:dyDescent="0.2">
      <c r="B12" t="s">
        <v>52</v>
      </c>
      <c r="C12" s="6">
        <v>6270.0988710280944</v>
      </c>
      <c r="D12" s="7"/>
      <c r="E12" s="7"/>
      <c r="F12" s="7"/>
    </row>
    <row r="13" spans="1:7" x14ac:dyDescent="0.2">
      <c r="B13" t="s">
        <v>53</v>
      </c>
      <c r="C13" s="6">
        <v>24392.747552095341</v>
      </c>
      <c r="D13" s="7"/>
      <c r="E13" s="7"/>
      <c r="F13" s="7"/>
    </row>
    <row r="14" spans="1:7" x14ac:dyDescent="0.2">
      <c r="A14" t="s">
        <v>54</v>
      </c>
      <c r="B14" t="s">
        <v>55</v>
      </c>
      <c r="C14" s="6">
        <v>525602.5833333336</v>
      </c>
      <c r="D14" s="7"/>
      <c r="E14" s="7"/>
      <c r="F14" s="7"/>
      <c r="G14" t="s">
        <v>56</v>
      </c>
    </row>
    <row r="15" spans="1:7" x14ac:dyDescent="0.2">
      <c r="B15" t="s">
        <v>57</v>
      </c>
      <c r="C15" s="6">
        <v>23937.692907303059</v>
      </c>
      <c r="D15" s="7"/>
      <c r="E15" s="7"/>
      <c r="F15" s="7"/>
    </row>
    <row r="16" spans="1:7" x14ac:dyDescent="0.2">
      <c r="B16" t="s">
        <v>58</v>
      </c>
      <c r="C16" s="6"/>
      <c r="D16" s="7"/>
      <c r="E16" s="7"/>
      <c r="F16" s="7">
        <v>0.123</v>
      </c>
      <c r="G16" t="s">
        <v>59</v>
      </c>
    </row>
    <row r="17" spans="1:7" x14ac:dyDescent="0.2">
      <c r="A17" t="s">
        <v>60</v>
      </c>
      <c r="B17" t="s">
        <v>55</v>
      </c>
      <c r="C17" s="6">
        <v>9389.6609392566334</v>
      </c>
      <c r="D17" s="7"/>
      <c r="E17" s="7"/>
      <c r="F17" s="7">
        <v>10490.10005966395</v>
      </c>
      <c r="G17" t="s">
        <v>61</v>
      </c>
    </row>
    <row r="18" spans="1:7" x14ac:dyDescent="0.2">
      <c r="B18" t="s">
        <v>62</v>
      </c>
      <c r="C18" s="6">
        <v>6348.8666086387566</v>
      </c>
      <c r="D18" s="7"/>
      <c r="E18" s="7"/>
      <c r="F18" s="7">
        <v>84.56</v>
      </c>
      <c r="G18" t="s">
        <v>63</v>
      </c>
    </row>
    <row r="19" spans="1:7" x14ac:dyDescent="0.2">
      <c r="B19" t="s">
        <v>64</v>
      </c>
      <c r="C19" s="6">
        <v>2562.282898493223</v>
      </c>
      <c r="D19" s="7"/>
      <c r="E19" s="7"/>
      <c r="F19" s="7">
        <v>12.44</v>
      </c>
      <c r="G19" t="s">
        <v>63</v>
      </c>
    </row>
    <row r="20" spans="1:7" x14ac:dyDescent="0.2">
      <c r="B20" t="s">
        <v>65</v>
      </c>
      <c r="C20" s="6">
        <v>478.51143212465399</v>
      </c>
      <c r="D20" s="7"/>
      <c r="E20" s="7"/>
      <c r="F20" s="7">
        <v>3</v>
      </c>
      <c r="G20" t="s">
        <v>63</v>
      </c>
    </row>
    <row r="21" spans="1:7" x14ac:dyDescent="0.2">
      <c r="A21" t="s">
        <v>66</v>
      </c>
      <c r="B21" t="s">
        <v>55</v>
      </c>
      <c r="C21" s="6">
        <v>8915.9346214532252</v>
      </c>
      <c r="D21" s="7"/>
      <c r="E21" s="7"/>
      <c r="F21" s="7"/>
      <c r="G21" t="s">
        <v>67</v>
      </c>
    </row>
    <row r="22" spans="1:7" x14ac:dyDescent="0.2">
      <c r="B22" t="s">
        <v>68</v>
      </c>
      <c r="C22" s="6"/>
      <c r="D22" s="7"/>
      <c r="E22" s="7"/>
      <c r="F22" s="7">
        <v>309.1827269916509</v>
      </c>
      <c r="G22" t="s">
        <v>69</v>
      </c>
    </row>
    <row r="23" spans="1:7" x14ac:dyDescent="0.2">
      <c r="A23" t="s">
        <v>70</v>
      </c>
      <c r="B23" t="s">
        <v>55</v>
      </c>
      <c r="C23" s="6">
        <v>6413.4920874770314</v>
      </c>
      <c r="D23" s="7"/>
      <c r="E23" s="7"/>
      <c r="F23" s="7"/>
      <c r="G23" t="s">
        <v>71</v>
      </c>
    </row>
    <row r="24" spans="1:7" x14ac:dyDescent="0.2">
      <c r="B24" t="s">
        <v>62</v>
      </c>
      <c r="C24" s="6">
        <v>6285.3779425523689</v>
      </c>
      <c r="D24" s="7"/>
      <c r="E24" s="7"/>
      <c r="F24" s="7">
        <v>99.262477411888568</v>
      </c>
      <c r="G24" t="s">
        <v>63</v>
      </c>
    </row>
    <row r="25" spans="1:7" x14ac:dyDescent="0.2">
      <c r="B25" t="s">
        <v>72</v>
      </c>
      <c r="C25" s="6">
        <v>128.1141449246613</v>
      </c>
      <c r="D25" s="7"/>
      <c r="E25" s="7"/>
      <c r="F25" s="7">
        <v>0.73752258811142157</v>
      </c>
      <c r="G25" t="s">
        <v>63</v>
      </c>
    </row>
    <row r="26" spans="1:7" x14ac:dyDescent="0.2">
      <c r="A26" t="s">
        <v>73</v>
      </c>
      <c r="B26" t="s">
        <v>74</v>
      </c>
      <c r="C26" s="6">
        <v>6788.6679979195324</v>
      </c>
      <c r="D26" s="7">
        <v>84.019489072298896</v>
      </c>
      <c r="E26" s="7">
        <v>15.980510927701101</v>
      </c>
      <c r="F26" s="7"/>
      <c r="G26" t="s">
        <v>75</v>
      </c>
    </row>
    <row r="27" spans="1:7" x14ac:dyDescent="0.2">
      <c r="B27" t="s">
        <v>46</v>
      </c>
      <c r="C27" s="6">
        <v>5703.8041666666541</v>
      </c>
      <c r="D27" s="7"/>
      <c r="E27" s="7"/>
      <c r="F27" s="7"/>
    </row>
    <row r="28" spans="1:7" x14ac:dyDescent="0.2">
      <c r="B28" t="s">
        <v>49</v>
      </c>
      <c r="C28" s="6">
        <v>165.45434378813621</v>
      </c>
      <c r="D28" s="7"/>
      <c r="E28" s="7"/>
      <c r="F28" s="7"/>
    </row>
    <row r="29" spans="1:7" x14ac:dyDescent="0.2">
      <c r="B29" t="s">
        <v>50</v>
      </c>
      <c r="C29" s="6">
        <v>78.748190905624043</v>
      </c>
      <c r="D29" s="7"/>
      <c r="E29" s="7"/>
      <c r="F29" s="7"/>
    </row>
    <row r="30" spans="1:7" x14ac:dyDescent="0.2">
      <c r="B30" t="s">
        <v>51</v>
      </c>
      <c r="C30" s="6">
        <v>31.47552125187077</v>
      </c>
      <c r="D30" s="7"/>
      <c r="E30" s="7"/>
      <c r="F30" s="7"/>
    </row>
    <row r="31" spans="1:7" x14ac:dyDescent="0.2">
      <c r="B31" t="s">
        <v>52</v>
      </c>
      <c r="C31" s="6">
        <v>119.1318785495336</v>
      </c>
      <c r="D31" s="7"/>
      <c r="E31" s="7"/>
      <c r="F31" s="7"/>
    </row>
    <row r="32" spans="1:7" x14ac:dyDescent="0.2">
      <c r="B32" t="s">
        <v>53</v>
      </c>
      <c r="C32" s="6">
        <v>463.46220348981171</v>
      </c>
      <c r="D32" s="7"/>
      <c r="E32" s="7"/>
      <c r="F32" s="7"/>
    </row>
    <row r="33" spans="1:7" x14ac:dyDescent="0.2">
      <c r="A33" t="s">
        <v>76</v>
      </c>
      <c r="B33" t="s">
        <v>55</v>
      </c>
      <c r="C33" s="6">
        <v>54727.078955566983</v>
      </c>
      <c r="D33" s="7">
        <v>44.999999999999993</v>
      </c>
      <c r="E33" s="7">
        <v>55.000000000000007</v>
      </c>
      <c r="F33" s="7"/>
      <c r="G33" t="s">
        <v>77</v>
      </c>
    </row>
    <row r="34" spans="1:7" x14ac:dyDescent="0.2">
      <c r="B34" t="s">
        <v>46</v>
      </c>
      <c r="C34" s="6">
        <v>24627.185530005139</v>
      </c>
      <c r="D34" s="7"/>
      <c r="E34" s="7"/>
      <c r="F34" s="7"/>
    </row>
    <row r="35" spans="1:7" x14ac:dyDescent="0.2">
      <c r="B35" t="s">
        <v>47</v>
      </c>
      <c r="C35" s="6">
        <v>10889.43432150001</v>
      </c>
      <c r="D35" s="7"/>
      <c r="E35" s="7"/>
      <c r="F35" s="7"/>
    </row>
    <row r="36" spans="1:7" x14ac:dyDescent="0.2">
      <c r="B36" t="s">
        <v>48</v>
      </c>
      <c r="C36" s="6">
        <v>3080.01247054644</v>
      </c>
      <c r="D36" s="7"/>
      <c r="E36" s="7"/>
      <c r="F36" s="7"/>
    </row>
    <row r="37" spans="1:7" x14ac:dyDescent="0.2">
      <c r="B37" t="s">
        <v>49</v>
      </c>
      <c r="C37" s="6">
        <v>3087.6723896560961</v>
      </c>
      <c r="D37" s="7"/>
      <c r="E37" s="7"/>
      <c r="F37" s="7"/>
    </row>
    <row r="38" spans="1:7" x14ac:dyDescent="0.2">
      <c r="B38" t="s">
        <v>50</v>
      </c>
      <c r="C38" s="6">
        <v>1493.220709167467</v>
      </c>
      <c r="D38" s="7"/>
      <c r="E38" s="7"/>
      <c r="F38" s="7"/>
    </row>
    <row r="39" spans="1:7" x14ac:dyDescent="0.2">
      <c r="B39" t="s">
        <v>51</v>
      </c>
      <c r="C39" s="6">
        <v>540.14611906293419</v>
      </c>
      <c r="D39" s="7"/>
      <c r="E39" s="7"/>
      <c r="F39" s="7"/>
    </row>
    <row r="40" spans="1:7" x14ac:dyDescent="0.2">
      <c r="B40" t="s">
        <v>52</v>
      </c>
      <c r="C40" s="6">
        <v>2151.6885112345499</v>
      </c>
      <c r="D40" s="7"/>
      <c r="E40" s="7"/>
      <c r="F40" s="7"/>
    </row>
    <row r="41" spans="1:7" x14ac:dyDescent="0.2">
      <c r="B41" t="s">
        <v>53</v>
      </c>
      <c r="C41" s="6">
        <v>8857.7189043943381</v>
      </c>
      <c r="D41" s="7"/>
      <c r="E41" s="7"/>
      <c r="F41" s="7"/>
    </row>
    <row r="42" spans="1:7" x14ac:dyDescent="0.2">
      <c r="A42" t="s">
        <v>78</v>
      </c>
      <c r="B42" t="s">
        <v>55</v>
      </c>
      <c r="C42" s="6">
        <v>461485.84343851003</v>
      </c>
      <c r="D42" s="7">
        <v>90.21641925092797</v>
      </c>
      <c r="E42" s="7">
        <v>9.7835807490720317</v>
      </c>
      <c r="F42" s="7"/>
      <c r="G42" t="s">
        <v>79</v>
      </c>
    </row>
    <row r="43" spans="1:7" x14ac:dyDescent="0.2">
      <c r="B43" t="s">
        <v>46</v>
      </c>
      <c r="C43" s="6">
        <v>416336.00330016721</v>
      </c>
      <c r="D43" s="7"/>
      <c r="E43" s="7"/>
      <c r="F43" s="7"/>
    </row>
    <row r="44" spans="1:7" x14ac:dyDescent="0.2">
      <c r="B44" t="s">
        <v>47</v>
      </c>
      <c r="C44" s="6">
        <v>16334.15148225001</v>
      </c>
      <c r="D44" s="7"/>
      <c r="E44" s="7"/>
      <c r="F44" s="7"/>
    </row>
    <row r="45" spans="1:7" x14ac:dyDescent="0.2">
      <c r="B45" t="s">
        <v>48</v>
      </c>
      <c r="C45" s="6">
        <v>4620.0187058196616</v>
      </c>
      <c r="D45" s="7"/>
      <c r="E45" s="7"/>
      <c r="F45" s="7"/>
    </row>
    <row r="46" spans="1:7" x14ac:dyDescent="0.2">
      <c r="B46" t="s">
        <v>49</v>
      </c>
      <c r="C46" s="6">
        <v>4631.5085844841442</v>
      </c>
      <c r="D46" s="7"/>
      <c r="E46" s="7"/>
      <c r="F46" s="7"/>
    </row>
    <row r="47" spans="1:7" x14ac:dyDescent="0.2">
      <c r="B47" t="s">
        <v>50</v>
      </c>
      <c r="C47" s="6">
        <v>2239.8310637512</v>
      </c>
      <c r="D47" s="7"/>
      <c r="E47" s="7"/>
      <c r="F47" s="7"/>
    </row>
    <row r="48" spans="1:7" x14ac:dyDescent="0.2">
      <c r="B48" t="s">
        <v>51</v>
      </c>
      <c r="C48" s="6">
        <v>810.21917859440111</v>
      </c>
      <c r="D48" s="7"/>
      <c r="E48" s="7"/>
      <c r="F48" s="7"/>
    </row>
    <row r="49" spans="1:6" x14ac:dyDescent="0.2">
      <c r="B49" t="s">
        <v>52</v>
      </c>
      <c r="C49" s="6">
        <v>3227.5327668518248</v>
      </c>
      <c r="D49" s="7"/>
      <c r="E49" s="7"/>
      <c r="F49" s="7"/>
    </row>
    <row r="50" spans="1:6" x14ac:dyDescent="0.2">
      <c r="B50" t="s">
        <v>53</v>
      </c>
      <c r="C50" s="6">
        <v>13286.57835659151</v>
      </c>
      <c r="D50" s="7"/>
      <c r="E50" s="7"/>
      <c r="F50" s="7"/>
    </row>
    <row r="51" spans="1:6" x14ac:dyDescent="0.2">
      <c r="C51" s="6"/>
      <c r="D51" s="7"/>
      <c r="E51" s="7"/>
      <c r="F51" s="7"/>
    </row>
    <row r="52" spans="1:6" x14ac:dyDescent="0.2">
      <c r="A52" t="s">
        <v>80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topLeftCell="A15" workbookViewId="0">
      <selection sqref="A1:G1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6" customWidth="1"/>
    <col min="4" max="5" width="13" customWidth="1"/>
    <col min="6" max="6" width="14" customWidth="1"/>
    <col min="7" max="7" width="38" customWidth="1"/>
  </cols>
  <sheetData>
    <row r="1" spans="1:7" ht="16" x14ac:dyDescent="0.2">
      <c r="A1" s="11" t="s">
        <v>82</v>
      </c>
      <c r="B1" s="9"/>
      <c r="C1" s="9"/>
      <c r="D1" s="9"/>
      <c r="E1" s="9"/>
      <c r="F1" s="9"/>
      <c r="G1" s="9"/>
    </row>
    <row r="2" spans="1:7" x14ac:dyDescent="0.2">
      <c r="A2" t="s">
        <v>35</v>
      </c>
    </row>
    <row r="4" spans="1:7" x14ac:dyDescent="0.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</row>
    <row r="5" spans="1:7" x14ac:dyDescent="0.2">
      <c r="A5" t="s">
        <v>43</v>
      </c>
      <c r="B5" t="s">
        <v>44</v>
      </c>
      <c r="C5" s="6">
        <v>625000.00000000012</v>
      </c>
      <c r="D5" s="7">
        <v>86.72999999999999</v>
      </c>
      <c r="E5" s="7">
        <v>13.270000000000019</v>
      </c>
      <c r="F5" s="7"/>
      <c r="G5" t="s">
        <v>45</v>
      </c>
    </row>
    <row r="6" spans="1:7" x14ac:dyDescent="0.2">
      <c r="B6" t="s">
        <v>46</v>
      </c>
      <c r="C6" s="6">
        <v>542062.5</v>
      </c>
      <c r="D6" s="7"/>
      <c r="E6" s="7"/>
      <c r="F6" s="7"/>
    </row>
    <row r="7" spans="1:7" x14ac:dyDescent="0.2">
      <c r="B7" t="s">
        <v>47</v>
      </c>
      <c r="C7" s="6">
        <v>28638.318750000009</v>
      </c>
      <c r="D7" s="7"/>
      <c r="E7" s="7"/>
      <c r="F7" s="7"/>
    </row>
    <row r="8" spans="1:7" x14ac:dyDescent="0.2">
      <c r="B8" t="s">
        <v>48</v>
      </c>
      <c r="C8" s="6">
        <v>9126.9634613170656</v>
      </c>
      <c r="D8" s="7"/>
      <c r="E8" s="7"/>
      <c r="F8" s="7"/>
    </row>
    <row r="9" spans="1:7" x14ac:dyDescent="0.2">
      <c r="B9" t="s">
        <v>49</v>
      </c>
      <c r="C9" s="6">
        <v>8708.123357270324</v>
      </c>
      <c r="D9" s="7"/>
      <c r="E9" s="7"/>
      <c r="F9" s="7"/>
    </row>
    <row r="10" spans="1:7" x14ac:dyDescent="0.2">
      <c r="B10" t="s">
        <v>50</v>
      </c>
      <c r="C10" s="6">
        <v>4144.6416266117903</v>
      </c>
      <c r="D10" s="7"/>
      <c r="E10" s="7"/>
      <c r="F10" s="7"/>
    </row>
    <row r="11" spans="1:7" x14ac:dyDescent="0.2">
      <c r="B11" t="s">
        <v>51</v>
      </c>
      <c r="C11" s="6">
        <v>1656.6063816774131</v>
      </c>
      <c r="D11" s="7"/>
      <c r="E11" s="7"/>
      <c r="F11" s="7"/>
    </row>
    <row r="12" spans="1:7" x14ac:dyDescent="0.2">
      <c r="B12" t="s">
        <v>52</v>
      </c>
      <c r="C12" s="6">
        <v>6270.0988710280944</v>
      </c>
      <c r="D12" s="7"/>
      <c r="E12" s="7"/>
      <c r="F12" s="7"/>
    </row>
    <row r="13" spans="1:7" x14ac:dyDescent="0.2">
      <c r="B13" t="s">
        <v>53</v>
      </c>
      <c r="C13" s="6">
        <v>24392.747552095341</v>
      </c>
      <c r="D13" s="7"/>
      <c r="E13" s="7"/>
      <c r="F13" s="7"/>
    </row>
    <row r="14" spans="1:7" x14ac:dyDescent="0.2">
      <c r="A14" t="s">
        <v>54</v>
      </c>
      <c r="B14" t="s">
        <v>55</v>
      </c>
      <c r="C14" s="6">
        <v>525602.5833333336</v>
      </c>
      <c r="D14" s="7"/>
      <c r="E14" s="7"/>
      <c r="F14" s="7"/>
      <c r="G14" t="s">
        <v>56</v>
      </c>
    </row>
    <row r="15" spans="1:7" x14ac:dyDescent="0.2">
      <c r="B15" t="s">
        <v>57</v>
      </c>
      <c r="C15" s="6">
        <v>23937.692907303059</v>
      </c>
      <c r="D15" s="7"/>
      <c r="E15" s="7"/>
      <c r="F15" s="7"/>
    </row>
    <row r="16" spans="1:7" x14ac:dyDescent="0.2">
      <c r="B16" t="s">
        <v>58</v>
      </c>
      <c r="C16" s="6"/>
      <c r="D16" s="7"/>
      <c r="E16" s="7"/>
      <c r="F16" s="7">
        <v>0.16500000000000001</v>
      </c>
      <c r="G16" t="s">
        <v>59</v>
      </c>
    </row>
    <row r="17" spans="1:7" x14ac:dyDescent="0.2">
      <c r="A17" t="s">
        <v>60</v>
      </c>
      <c r="B17" t="s">
        <v>55</v>
      </c>
      <c r="C17" s="6">
        <v>30169.176200406331</v>
      </c>
      <c r="D17" s="7"/>
      <c r="E17" s="7"/>
      <c r="F17" s="7">
        <v>23083.133759544409</v>
      </c>
      <c r="G17" t="s">
        <v>61</v>
      </c>
    </row>
    <row r="18" spans="1:7" x14ac:dyDescent="0.2">
      <c r="B18" t="s">
        <v>62</v>
      </c>
      <c r="C18" s="6">
        <v>8516.7722798812592</v>
      </c>
      <c r="D18" s="7"/>
      <c r="E18" s="7"/>
      <c r="F18" s="7">
        <v>51.54999999999999</v>
      </c>
      <c r="G18" t="s">
        <v>63</v>
      </c>
    </row>
    <row r="19" spans="1:7" x14ac:dyDescent="0.2">
      <c r="B19" t="s">
        <v>64</v>
      </c>
      <c r="C19" s="6">
        <v>20599.454632112051</v>
      </c>
      <c r="D19" s="7"/>
      <c r="E19" s="7"/>
      <c r="F19" s="7">
        <v>45.45</v>
      </c>
      <c r="G19" t="s">
        <v>63</v>
      </c>
    </row>
    <row r="20" spans="1:7" x14ac:dyDescent="0.2">
      <c r="B20" t="s">
        <v>65</v>
      </c>
      <c r="C20" s="6">
        <v>1052.9492884130209</v>
      </c>
      <c r="D20" s="7"/>
      <c r="E20" s="7"/>
      <c r="F20" s="7">
        <v>3</v>
      </c>
      <c r="G20" t="s">
        <v>63</v>
      </c>
    </row>
    <row r="21" spans="1:7" x14ac:dyDescent="0.2">
      <c r="A21" t="s">
        <v>66</v>
      </c>
      <c r="B21" t="s">
        <v>55</v>
      </c>
      <c r="C21" s="6">
        <v>29126.75640487744</v>
      </c>
      <c r="D21" s="7"/>
      <c r="E21" s="7"/>
      <c r="F21" s="7"/>
      <c r="G21" t="s">
        <v>67</v>
      </c>
    </row>
    <row r="22" spans="1:7" x14ac:dyDescent="0.2">
      <c r="B22" t="s">
        <v>68</v>
      </c>
      <c r="C22" s="6"/>
      <c r="D22" s="7"/>
      <c r="E22" s="7"/>
      <c r="F22" s="7">
        <v>309.18272699165379</v>
      </c>
      <c r="G22" t="s">
        <v>69</v>
      </c>
    </row>
    <row r="23" spans="1:7" x14ac:dyDescent="0.2">
      <c r="A23" t="s">
        <v>70</v>
      </c>
      <c r="B23" t="s">
        <v>55</v>
      </c>
      <c r="C23" s="6">
        <v>9461.5772886880495</v>
      </c>
      <c r="D23" s="7"/>
      <c r="E23" s="7"/>
      <c r="F23" s="7"/>
      <c r="G23" t="s">
        <v>71</v>
      </c>
    </row>
    <row r="24" spans="1:7" x14ac:dyDescent="0.2">
      <c r="B24" t="s">
        <v>62</v>
      </c>
      <c r="C24" s="6">
        <v>8431.6045570824463</v>
      </c>
      <c r="D24" s="7"/>
      <c r="E24" s="7"/>
      <c r="F24" s="7">
        <v>95.736957622826282</v>
      </c>
      <c r="G24" t="s">
        <v>63</v>
      </c>
    </row>
    <row r="25" spans="1:7" x14ac:dyDescent="0.2">
      <c r="B25" t="s">
        <v>72</v>
      </c>
      <c r="C25" s="6">
        <v>1029.9727316056039</v>
      </c>
      <c r="D25" s="7"/>
      <c r="E25" s="7"/>
      <c r="F25" s="7">
        <v>4.2630423771737371</v>
      </c>
      <c r="G25" t="s">
        <v>63</v>
      </c>
    </row>
    <row r="26" spans="1:7" x14ac:dyDescent="0.2">
      <c r="A26" t="s">
        <v>73</v>
      </c>
      <c r="B26" t="s">
        <v>74</v>
      </c>
      <c r="C26" s="6">
        <v>6788.6679979195324</v>
      </c>
      <c r="D26" s="7">
        <v>84.019489072298896</v>
      </c>
      <c r="E26" s="7">
        <v>15.980510927701101</v>
      </c>
      <c r="F26" s="7"/>
      <c r="G26" t="s">
        <v>75</v>
      </c>
    </row>
    <row r="27" spans="1:7" x14ac:dyDescent="0.2">
      <c r="B27" t="s">
        <v>46</v>
      </c>
      <c r="C27" s="6">
        <v>5703.8041666666541</v>
      </c>
      <c r="D27" s="7"/>
      <c r="E27" s="7"/>
      <c r="F27" s="7"/>
    </row>
    <row r="28" spans="1:7" x14ac:dyDescent="0.2">
      <c r="B28" t="s">
        <v>49</v>
      </c>
      <c r="C28" s="6">
        <v>165.45434378813621</v>
      </c>
      <c r="D28" s="7"/>
      <c r="E28" s="7"/>
      <c r="F28" s="7"/>
    </row>
    <row r="29" spans="1:7" x14ac:dyDescent="0.2">
      <c r="B29" t="s">
        <v>50</v>
      </c>
      <c r="C29" s="6">
        <v>78.748190905624043</v>
      </c>
      <c r="D29" s="7"/>
      <c r="E29" s="7"/>
      <c r="F29" s="7"/>
    </row>
    <row r="30" spans="1:7" x14ac:dyDescent="0.2">
      <c r="B30" t="s">
        <v>51</v>
      </c>
      <c r="C30" s="6">
        <v>31.47552125187077</v>
      </c>
      <c r="D30" s="7"/>
      <c r="E30" s="7"/>
      <c r="F30" s="7"/>
    </row>
    <row r="31" spans="1:7" x14ac:dyDescent="0.2">
      <c r="B31" t="s">
        <v>52</v>
      </c>
      <c r="C31" s="6">
        <v>119.1318785495336</v>
      </c>
      <c r="D31" s="7"/>
      <c r="E31" s="7"/>
      <c r="F31" s="7"/>
    </row>
    <row r="32" spans="1:7" x14ac:dyDescent="0.2">
      <c r="B32" t="s">
        <v>53</v>
      </c>
      <c r="C32" s="6">
        <v>463.46220348981171</v>
      </c>
      <c r="D32" s="7"/>
      <c r="E32" s="7"/>
      <c r="F32" s="7"/>
    </row>
    <row r="33" spans="1:7" x14ac:dyDescent="0.2">
      <c r="A33" t="s">
        <v>76</v>
      </c>
      <c r="B33" t="s">
        <v>55</v>
      </c>
      <c r="C33" s="6">
        <v>53682.525083248293</v>
      </c>
      <c r="D33" s="7">
        <v>44.999999999999993</v>
      </c>
      <c r="E33" s="7">
        <v>55</v>
      </c>
      <c r="F33" s="7"/>
      <c r="G33" t="s">
        <v>77</v>
      </c>
    </row>
    <row r="34" spans="1:7" x14ac:dyDescent="0.2">
      <c r="B34" t="s">
        <v>46</v>
      </c>
      <c r="C34" s="6">
        <v>24157.13628746173</v>
      </c>
      <c r="D34" s="7"/>
      <c r="E34" s="7"/>
      <c r="F34" s="7"/>
    </row>
    <row r="35" spans="1:7" x14ac:dyDescent="0.2">
      <c r="B35" t="s">
        <v>47</v>
      </c>
      <c r="C35" s="6">
        <v>10889.43432150001</v>
      </c>
      <c r="D35" s="7"/>
      <c r="E35" s="7"/>
      <c r="F35" s="7"/>
    </row>
    <row r="36" spans="1:7" x14ac:dyDescent="0.2">
      <c r="B36" t="s">
        <v>48</v>
      </c>
      <c r="C36" s="6">
        <v>2923.8428241525371</v>
      </c>
      <c r="D36" s="7"/>
      <c r="E36" s="7"/>
      <c r="F36" s="7"/>
    </row>
    <row r="37" spans="1:7" x14ac:dyDescent="0.2">
      <c r="B37" t="s">
        <v>49</v>
      </c>
      <c r="C37" s="6">
        <v>2998.2706153711479</v>
      </c>
      <c r="D37" s="7"/>
      <c r="E37" s="7"/>
      <c r="F37" s="7"/>
    </row>
    <row r="38" spans="1:7" x14ac:dyDescent="0.2">
      <c r="B38" t="s">
        <v>50</v>
      </c>
      <c r="C38" s="6">
        <v>1460.125579993306</v>
      </c>
      <c r="D38" s="7"/>
      <c r="E38" s="7"/>
      <c r="F38" s="7"/>
    </row>
    <row r="39" spans="1:7" x14ac:dyDescent="0.2">
      <c r="B39" t="s">
        <v>51</v>
      </c>
      <c r="C39" s="6">
        <v>504.24136246050011</v>
      </c>
      <c r="D39" s="7"/>
      <c r="E39" s="7"/>
      <c r="F39" s="7"/>
    </row>
    <row r="40" spans="1:7" x14ac:dyDescent="0.2">
      <c r="B40" t="s">
        <v>52</v>
      </c>
      <c r="C40" s="6">
        <v>2058.7069578404812</v>
      </c>
      <c r="D40" s="7"/>
      <c r="E40" s="7"/>
      <c r="F40" s="7"/>
    </row>
    <row r="41" spans="1:7" x14ac:dyDescent="0.2">
      <c r="B41" t="s">
        <v>53</v>
      </c>
      <c r="C41" s="6">
        <v>8690.7671344685841</v>
      </c>
      <c r="D41" s="7"/>
      <c r="E41" s="7"/>
      <c r="F41" s="7"/>
    </row>
    <row r="42" spans="1:7" x14ac:dyDescent="0.2">
      <c r="A42" t="s">
        <v>78</v>
      </c>
      <c r="B42" t="s">
        <v>55</v>
      </c>
      <c r="C42" s="6">
        <v>441750.882049679</v>
      </c>
      <c r="D42" s="7">
        <v>89.974421106260678</v>
      </c>
      <c r="E42" s="7">
        <v>10.02557889373931</v>
      </c>
      <c r="F42" s="7"/>
      <c r="G42" t="s">
        <v>79</v>
      </c>
    </row>
    <row r="43" spans="1:7" x14ac:dyDescent="0.2">
      <c r="B43" t="s">
        <v>46</v>
      </c>
      <c r="C43" s="6">
        <v>397462.79885599908</v>
      </c>
      <c r="D43" s="7"/>
      <c r="E43" s="7"/>
      <c r="F43" s="7"/>
    </row>
    <row r="44" spans="1:7" x14ac:dyDescent="0.2">
      <c r="B44" t="s">
        <v>47</v>
      </c>
      <c r="C44" s="6">
        <v>16334.15148225001</v>
      </c>
      <c r="D44" s="7"/>
      <c r="E44" s="7"/>
      <c r="F44" s="7"/>
    </row>
    <row r="45" spans="1:7" x14ac:dyDescent="0.2">
      <c r="B45" t="s">
        <v>48</v>
      </c>
      <c r="C45" s="6">
        <v>4385.7642362288043</v>
      </c>
      <c r="D45" s="7"/>
      <c r="E45" s="7"/>
      <c r="F45" s="7"/>
    </row>
    <row r="46" spans="1:7" x14ac:dyDescent="0.2">
      <c r="B46" t="s">
        <v>49</v>
      </c>
      <c r="C46" s="6">
        <v>4497.4059230567209</v>
      </c>
      <c r="D46" s="7"/>
      <c r="E46" s="7"/>
      <c r="F46" s="7"/>
    </row>
    <row r="47" spans="1:7" x14ac:dyDescent="0.2">
      <c r="B47" t="s">
        <v>50</v>
      </c>
      <c r="C47" s="6">
        <v>2190.188369989959</v>
      </c>
      <c r="D47" s="7"/>
      <c r="E47" s="7"/>
      <c r="F47" s="7"/>
    </row>
    <row r="48" spans="1:7" x14ac:dyDescent="0.2">
      <c r="B48" t="s">
        <v>51</v>
      </c>
      <c r="C48" s="6">
        <v>756.36204369074994</v>
      </c>
      <c r="D48" s="7"/>
      <c r="E48" s="7"/>
      <c r="F48" s="7"/>
    </row>
    <row r="49" spans="1:6" x14ac:dyDescent="0.2">
      <c r="B49" t="s">
        <v>52</v>
      </c>
      <c r="C49" s="6">
        <v>3088.0604367607211</v>
      </c>
      <c r="D49" s="7"/>
      <c r="E49" s="7"/>
      <c r="F49" s="7"/>
    </row>
    <row r="50" spans="1:6" x14ac:dyDescent="0.2">
      <c r="B50" t="s">
        <v>53</v>
      </c>
      <c r="C50" s="6">
        <v>13036.150701702871</v>
      </c>
      <c r="D50" s="7"/>
      <c r="E50" s="7"/>
      <c r="F50" s="7"/>
    </row>
    <row r="51" spans="1:6" x14ac:dyDescent="0.2">
      <c r="C51" s="6"/>
      <c r="D51" s="7"/>
      <c r="E51" s="7"/>
      <c r="F51" s="7"/>
    </row>
    <row r="52" spans="1:6" x14ac:dyDescent="0.2">
      <c r="A52" t="s">
        <v>80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topLeftCell="A11" workbookViewId="0">
      <selection sqref="A1:G1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6" customWidth="1"/>
    <col min="4" max="5" width="13" customWidth="1"/>
    <col min="6" max="6" width="14" customWidth="1"/>
    <col min="7" max="7" width="38" customWidth="1"/>
  </cols>
  <sheetData>
    <row r="1" spans="1:7" ht="16" x14ac:dyDescent="0.2">
      <c r="A1" s="11" t="s">
        <v>83</v>
      </c>
      <c r="B1" s="9"/>
      <c r="C1" s="9"/>
      <c r="D1" s="9"/>
      <c r="E1" s="9"/>
      <c r="F1" s="9"/>
      <c r="G1" s="9"/>
    </row>
    <row r="2" spans="1:7" x14ac:dyDescent="0.2">
      <c r="A2" t="s">
        <v>35</v>
      </c>
    </row>
    <row r="4" spans="1:7" x14ac:dyDescent="0.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</row>
    <row r="5" spans="1:7" x14ac:dyDescent="0.2">
      <c r="A5" t="s">
        <v>43</v>
      </c>
      <c r="B5" t="s">
        <v>44</v>
      </c>
      <c r="C5" s="6">
        <v>625000.00000000012</v>
      </c>
      <c r="D5" s="7">
        <v>86.72999999999999</v>
      </c>
      <c r="E5" s="7">
        <v>13.270000000000019</v>
      </c>
      <c r="F5" s="7"/>
      <c r="G5" t="s">
        <v>45</v>
      </c>
    </row>
    <row r="6" spans="1:7" x14ac:dyDescent="0.2">
      <c r="B6" t="s">
        <v>46</v>
      </c>
      <c r="C6" s="6">
        <v>542062.5</v>
      </c>
      <c r="D6" s="7"/>
      <c r="E6" s="7"/>
      <c r="F6" s="7"/>
    </row>
    <row r="7" spans="1:7" x14ac:dyDescent="0.2">
      <c r="B7" t="s">
        <v>47</v>
      </c>
      <c r="C7" s="6">
        <v>28638.318750000009</v>
      </c>
      <c r="D7" s="7"/>
      <c r="E7" s="7"/>
      <c r="F7" s="7"/>
    </row>
    <row r="8" spans="1:7" x14ac:dyDescent="0.2">
      <c r="B8" t="s">
        <v>48</v>
      </c>
      <c r="C8" s="6">
        <v>9126.9634613170656</v>
      </c>
      <c r="D8" s="7"/>
      <c r="E8" s="7"/>
      <c r="F8" s="7"/>
    </row>
    <row r="9" spans="1:7" x14ac:dyDescent="0.2">
      <c r="B9" t="s">
        <v>49</v>
      </c>
      <c r="C9" s="6">
        <v>8708.123357270324</v>
      </c>
      <c r="D9" s="7"/>
      <c r="E9" s="7"/>
      <c r="F9" s="7"/>
    </row>
    <row r="10" spans="1:7" x14ac:dyDescent="0.2">
      <c r="B10" t="s">
        <v>50</v>
      </c>
      <c r="C10" s="6">
        <v>4144.6416266117903</v>
      </c>
      <c r="D10" s="7"/>
      <c r="E10" s="7"/>
      <c r="F10" s="7"/>
    </row>
    <row r="11" spans="1:7" x14ac:dyDescent="0.2">
      <c r="B11" t="s">
        <v>51</v>
      </c>
      <c r="C11" s="6">
        <v>1656.6063816774131</v>
      </c>
      <c r="D11" s="7"/>
      <c r="E11" s="7"/>
      <c r="F11" s="7"/>
    </row>
    <row r="12" spans="1:7" x14ac:dyDescent="0.2">
      <c r="B12" t="s">
        <v>52</v>
      </c>
      <c r="C12" s="6">
        <v>6270.0988710280944</v>
      </c>
      <c r="D12" s="7"/>
      <c r="E12" s="7"/>
      <c r="F12" s="7"/>
    </row>
    <row r="13" spans="1:7" x14ac:dyDescent="0.2">
      <c r="B13" t="s">
        <v>53</v>
      </c>
      <c r="C13" s="6">
        <v>24392.747552095341</v>
      </c>
      <c r="D13" s="7"/>
      <c r="E13" s="7"/>
      <c r="F13" s="7"/>
    </row>
    <row r="14" spans="1:7" x14ac:dyDescent="0.2">
      <c r="A14" t="s">
        <v>54</v>
      </c>
      <c r="B14" t="s">
        <v>55</v>
      </c>
      <c r="C14" s="6">
        <v>525602.5833333336</v>
      </c>
      <c r="D14" s="7"/>
      <c r="E14" s="7"/>
      <c r="F14" s="7"/>
      <c r="G14" t="s">
        <v>56</v>
      </c>
    </row>
    <row r="15" spans="1:7" x14ac:dyDescent="0.2">
      <c r="B15" t="s">
        <v>57</v>
      </c>
      <c r="C15" s="6">
        <v>23937.692907303059</v>
      </c>
      <c r="D15" s="7"/>
      <c r="E15" s="7"/>
      <c r="F15" s="7"/>
    </row>
    <row r="16" spans="1:7" x14ac:dyDescent="0.2">
      <c r="B16" t="s">
        <v>58</v>
      </c>
      <c r="C16" s="6"/>
      <c r="D16" s="7"/>
      <c r="E16" s="7"/>
      <c r="F16" s="7">
        <v>0.27700000000000002</v>
      </c>
      <c r="G16" t="s">
        <v>59</v>
      </c>
    </row>
    <row r="17" spans="1:7" x14ac:dyDescent="0.2">
      <c r="A17" t="s">
        <v>60</v>
      </c>
      <c r="B17" t="s">
        <v>55</v>
      </c>
      <c r="C17" s="6">
        <v>20159.452008219789</v>
      </c>
      <c r="D17" s="7"/>
      <c r="E17" s="7"/>
      <c r="F17" s="7">
        <v>23118.26605712375</v>
      </c>
      <c r="G17" t="s">
        <v>61</v>
      </c>
    </row>
    <row r="18" spans="1:7" x14ac:dyDescent="0.2">
      <c r="B18" t="s">
        <v>62</v>
      </c>
      <c r="C18" s="6">
        <v>14297.854069861271</v>
      </c>
      <c r="D18" s="7"/>
      <c r="E18" s="7"/>
      <c r="F18" s="7">
        <v>86.409999999999982</v>
      </c>
      <c r="G18" t="s">
        <v>63</v>
      </c>
    </row>
    <row r="19" spans="1:7" x14ac:dyDescent="0.2">
      <c r="B19" t="s">
        <v>64</v>
      </c>
      <c r="C19" s="6">
        <v>4807.0460717114574</v>
      </c>
      <c r="D19" s="7"/>
      <c r="E19" s="7"/>
      <c r="F19" s="7">
        <v>10.59</v>
      </c>
      <c r="G19" t="s">
        <v>63</v>
      </c>
    </row>
    <row r="20" spans="1:7" x14ac:dyDescent="0.2">
      <c r="B20" t="s">
        <v>65</v>
      </c>
      <c r="C20" s="6">
        <v>1054.5518666470609</v>
      </c>
      <c r="D20" s="7"/>
      <c r="E20" s="7"/>
      <c r="F20" s="7">
        <v>3</v>
      </c>
      <c r="G20" t="s">
        <v>63</v>
      </c>
    </row>
    <row r="21" spans="1:7" x14ac:dyDescent="0.2">
      <c r="A21" t="s">
        <v>66</v>
      </c>
      <c r="B21" t="s">
        <v>55</v>
      </c>
      <c r="C21" s="6">
        <v>19115.445660239191</v>
      </c>
      <c r="D21" s="7"/>
      <c r="E21" s="7"/>
      <c r="F21" s="7"/>
      <c r="G21" t="s">
        <v>67</v>
      </c>
    </row>
    <row r="22" spans="1:7" x14ac:dyDescent="0.2">
      <c r="B22" t="s">
        <v>68</v>
      </c>
      <c r="C22" s="6"/>
      <c r="D22" s="7"/>
      <c r="E22" s="7"/>
      <c r="F22" s="7">
        <v>309.18272699165249</v>
      </c>
      <c r="G22" t="s">
        <v>69</v>
      </c>
    </row>
    <row r="23" spans="1:7" x14ac:dyDescent="0.2">
      <c r="A23" t="s">
        <v>70</v>
      </c>
      <c r="B23" t="s">
        <v>55</v>
      </c>
      <c r="C23" s="6">
        <v>14395.227832748231</v>
      </c>
      <c r="D23" s="7"/>
      <c r="E23" s="7"/>
      <c r="F23" s="7"/>
      <c r="G23" t="s">
        <v>71</v>
      </c>
    </row>
    <row r="24" spans="1:7" x14ac:dyDescent="0.2">
      <c r="B24" t="s">
        <v>62</v>
      </c>
      <c r="C24" s="6">
        <v>14154.875529162649</v>
      </c>
      <c r="D24" s="7"/>
      <c r="E24" s="7"/>
      <c r="F24" s="7">
        <v>99.384841662077662</v>
      </c>
      <c r="G24" t="s">
        <v>63</v>
      </c>
    </row>
    <row r="25" spans="1:7" x14ac:dyDescent="0.2">
      <c r="B25" t="s">
        <v>72</v>
      </c>
      <c r="C25" s="6">
        <v>240.35230358557291</v>
      </c>
      <c r="D25" s="7"/>
      <c r="E25" s="7"/>
      <c r="F25" s="7">
        <v>0.61515833792233299</v>
      </c>
      <c r="G25" t="s">
        <v>63</v>
      </c>
    </row>
    <row r="26" spans="1:7" x14ac:dyDescent="0.2">
      <c r="A26" t="s">
        <v>73</v>
      </c>
      <c r="B26" t="s">
        <v>74</v>
      </c>
      <c r="C26" s="6">
        <v>6788.6679979195324</v>
      </c>
      <c r="D26" s="7">
        <v>84.019489072298896</v>
      </c>
      <c r="E26" s="7">
        <v>15.980510927701101</v>
      </c>
      <c r="F26" s="7"/>
      <c r="G26" t="s">
        <v>75</v>
      </c>
    </row>
    <row r="27" spans="1:7" x14ac:dyDescent="0.2">
      <c r="B27" t="s">
        <v>46</v>
      </c>
      <c r="C27" s="6">
        <v>5703.8041666666541</v>
      </c>
      <c r="D27" s="7"/>
      <c r="E27" s="7"/>
      <c r="F27" s="7"/>
    </row>
    <row r="28" spans="1:7" x14ac:dyDescent="0.2">
      <c r="B28" t="s">
        <v>49</v>
      </c>
      <c r="C28" s="6">
        <v>165.45434378813621</v>
      </c>
      <c r="D28" s="7"/>
      <c r="E28" s="7"/>
      <c r="F28" s="7"/>
    </row>
    <row r="29" spans="1:7" x14ac:dyDescent="0.2">
      <c r="B29" t="s">
        <v>50</v>
      </c>
      <c r="C29" s="6">
        <v>78.748190905624043</v>
      </c>
      <c r="D29" s="7"/>
      <c r="E29" s="7"/>
      <c r="F29" s="7"/>
    </row>
    <row r="30" spans="1:7" x14ac:dyDescent="0.2">
      <c r="B30" t="s">
        <v>51</v>
      </c>
      <c r="C30" s="6">
        <v>31.47552125187077</v>
      </c>
      <c r="D30" s="7"/>
      <c r="E30" s="7"/>
      <c r="F30" s="7"/>
    </row>
    <row r="31" spans="1:7" x14ac:dyDescent="0.2">
      <c r="B31" t="s">
        <v>52</v>
      </c>
      <c r="C31" s="6">
        <v>119.1318785495336</v>
      </c>
      <c r="D31" s="7"/>
      <c r="E31" s="7"/>
      <c r="F31" s="7"/>
    </row>
    <row r="32" spans="1:7" x14ac:dyDescent="0.2">
      <c r="B32" t="s">
        <v>53</v>
      </c>
      <c r="C32" s="6">
        <v>463.46220348981171</v>
      </c>
      <c r="D32" s="7"/>
      <c r="E32" s="7"/>
      <c r="F32" s="7"/>
    </row>
    <row r="33" spans="1:7" x14ac:dyDescent="0.2">
      <c r="A33" t="s">
        <v>76</v>
      </c>
      <c r="B33" t="s">
        <v>55</v>
      </c>
      <c r="C33" s="6">
        <v>51245.232714504709</v>
      </c>
      <c r="D33" s="7">
        <v>45</v>
      </c>
      <c r="E33" s="7">
        <v>55.000000000000007</v>
      </c>
      <c r="F33" s="7"/>
      <c r="G33" t="s">
        <v>77</v>
      </c>
    </row>
    <row r="34" spans="1:7" x14ac:dyDescent="0.2">
      <c r="B34" t="s">
        <v>46</v>
      </c>
      <c r="C34" s="6">
        <v>23060.354721527121</v>
      </c>
      <c r="D34" s="7"/>
      <c r="E34" s="7"/>
      <c r="F34" s="7"/>
    </row>
    <row r="35" spans="1:7" x14ac:dyDescent="0.2">
      <c r="B35" t="s">
        <v>47</v>
      </c>
      <c r="C35" s="6">
        <v>10889.43432150001</v>
      </c>
      <c r="D35" s="7"/>
      <c r="E35" s="7"/>
      <c r="F35" s="7"/>
    </row>
    <row r="36" spans="1:7" x14ac:dyDescent="0.2">
      <c r="B36" t="s">
        <v>48</v>
      </c>
      <c r="C36" s="6">
        <v>2559.4469825667611</v>
      </c>
      <c r="D36" s="7"/>
      <c r="E36" s="7"/>
      <c r="F36" s="7"/>
    </row>
    <row r="37" spans="1:7" x14ac:dyDescent="0.2">
      <c r="B37" t="s">
        <v>49</v>
      </c>
      <c r="C37" s="6">
        <v>2789.6664753729342</v>
      </c>
      <c r="D37" s="7"/>
      <c r="E37" s="7"/>
      <c r="F37" s="7"/>
    </row>
    <row r="38" spans="1:7" x14ac:dyDescent="0.2">
      <c r="B38" t="s">
        <v>50</v>
      </c>
      <c r="C38" s="6">
        <v>1382.903611920266</v>
      </c>
      <c r="D38" s="7"/>
      <c r="E38" s="7"/>
      <c r="F38" s="7"/>
    </row>
    <row r="39" spans="1:7" x14ac:dyDescent="0.2">
      <c r="B39" t="s">
        <v>51</v>
      </c>
      <c r="C39" s="6">
        <v>420.46359705482053</v>
      </c>
      <c r="D39" s="7"/>
      <c r="E39" s="7"/>
      <c r="F39" s="7"/>
    </row>
    <row r="40" spans="1:7" x14ac:dyDescent="0.2">
      <c r="B40" t="s">
        <v>52</v>
      </c>
      <c r="C40" s="6">
        <v>1841.7499999209861</v>
      </c>
      <c r="D40" s="7"/>
      <c r="E40" s="7"/>
      <c r="F40" s="7"/>
    </row>
    <row r="41" spans="1:7" x14ac:dyDescent="0.2">
      <c r="B41" t="s">
        <v>53</v>
      </c>
      <c r="C41" s="6">
        <v>8301.2130046418151</v>
      </c>
      <c r="D41" s="7"/>
      <c r="E41" s="7"/>
      <c r="F41" s="7"/>
    </row>
    <row r="42" spans="1:7" x14ac:dyDescent="0.2">
      <c r="A42" t="s">
        <v>78</v>
      </c>
      <c r="B42" t="s">
        <v>55</v>
      </c>
      <c r="C42" s="6">
        <v>454197.89861060912</v>
      </c>
      <c r="D42" s="7">
        <v>90.691873053840041</v>
      </c>
      <c r="E42" s="7">
        <v>9.3081269461599678</v>
      </c>
      <c r="F42" s="7"/>
      <c r="G42" t="s">
        <v>79</v>
      </c>
    </row>
    <row r="43" spans="1:7" x14ac:dyDescent="0.2">
      <c r="B43" t="s">
        <v>46</v>
      </c>
      <c r="C43" s="6">
        <v>411920.58162114269</v>
      </c>
      <c r="D43" s="7"/>
      <c r="E43" s="7"/>
      <c r="F43" s="7"/>
    </row>
    <row r="44" spans="1:7" x14ac:dyDescent="0.2">
      <c r="B44" t="s">
        <v>47</v>
      </c>
      <c r="C44" s="6">
        <v>16334.15148225001</v>
      </c>
      <c r="D44" s="7"/>
      <c r="E44" s="7"/>
      <c r="F44" s="7"/>
    </row>
    <row r="45" spans="1:7" x14ac:dyDescent="0.2">
      <c r="B45" t="s">
        <v>48</v>
      </c>
      <c r="C45" s="6">
        <v>3839.1704738501398</v>
      </c>
      <c r="D45" s="7"/>
      <c r="E45" s="7"/>
      <c r="F45" s="7"/>
    </row>
    <row r="46" spans="1:7" x14ac:dyDescent="0.2">
      <c r="B46" t="s">
        <v>49</v>
      </c>
      <c r="C46" s="6">
        <v>4184.4997130594002</v>
      </c>
      <c r="D46" s="7"/>
      <c r="E46" s="7"/>
      <c r="F46" s="7"/>
    </row>
    <row r="47" spans="1:7" x14ac:dyDescent="0.2">
      <c r="B47" t="s">
        <v>50</v>
      </c>
      <c r="C47" s="6">
        <v>2074.3554178803988</v>
      </c>
      <c r="D47" s="7"/>
      <c r="E47" s="7"/>
      <c r="F47" s="7"/>
    </row>
    <row r="48" spans="1:7" x14ac:dyDescent="0.2">
      <c r="B48" t="s">
        <v>51</v>
      </c>
      <c r="C48" s="6">
        <v>630.69539558223073</v>
      </c>
      <c r="D48" s="7"/>
      <c r="E48" s="7"/>
      <c r="F48" s="7"/>
    </row>
    <row r="49" spans="1:6" x14ac:dyDescent="0.2">
      <c r="B49" t="s">
        <v>52</v>
      </c>
      <c r="C49" s="6">
        <v>2762.6249998814792</v>
      </c>
      <c r="D49" s="7"/>
      <c r="E49" s="7"/>
      <c r="F49" s="7"/>
    </row>
    <row r="50" spans="1:6" x14ac:dyDescent="0.2">
      <c r="B50" t="s">
        <v>53</v>
      </c>
      <c r="C50" s="6">
        <v>12451.81950696272</v>
      </c>
      <c r="D50" s="7"/>
      <c r="E50" s="7"/>
      <c r="F50" s="7"/>
    </row>
    <row r="51" spans="1:6" x14ac:dyDescent="0.2">
      <c r="C51" s="6"/>
      <c r="D51" s="7"/>
      <c r="E51" s="7"/>
      <c r="F51" s="7"/>
    </row>
    <row r="52" spans="1:6" x14ac:dyDescent="0.2">
      <c r="A52" t="s">
        <v>80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2"/>
  <sheetViews>
    <sheetView topLeftCell="A8" workbookViewId="0">
      <selection sqref="A1:G1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16" customWidth="1"/>
    <col min="4" max="5" width="13" customWidth="1"/>
    <col min="6" max="6" width="14" customWidth="1"/>
    <col min="7" max="7" width="38" customWidth="1"/>
  </cols>
  <sheetData>
    <row r="1" spans="1:7" ht="16" x14ac:dyDescent="0.2">
      <c r="A1" s="11" t="s">
        <v>84</v>
      </c>
      <c r="B1" s="9"/>
      <c r="C1" s="9"/>
      <c r="D1" s="9"/>
      <c r="E1" s="9"/>
      <c r="F1" s="9"/>
      <c r="G1" s="9"/>
    </row>
    <row r="2" spans="1:7" x14ac:dyDescent="0.2">
      <c r="A2" t="s">
        <v>35</v>
      </c>
    </row>
    <row r="4" spans="1:7" x14ac:dyDescent="0.2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</row>
    <row r="5" spans="1:7" x14ac:dyDescent="0.2">
      <c r="A5" t="s">
        <v>43</v>
      </c>
      <c r="B5" t="s">
        <v>44</v>
      </c>
      <c r="C5" s="6">
        <v>625000.00000000012</v>
      </c>
      <c r="D5" s="7">
        <v>86.72999999999999</v>
      </c>
      <c r="E5" s="7">
        <v>13.270000000000019</v>
      </c>
      <c r="F5" s="7"/>
      <c r="G5" t="s">
        <v>45</v>
      </c>
    </row>
    <row r="6" spans="1:7" x14ac:dyDescent="0.2">
      <c r="B6" t="s">
        <v>46</v>
      </c>
      <c r="C6" s="6">
        <v>542062.5</v>
      </c>
      <c r="D6" s="7"/>
      <c r="E6" s="7"/>
      <c r="F6" s="7"/>
    </row>
    <row r="7" spans="1:7" x14ac:dyDescent="0.2">
      <c r="B7" t="s">
        <v>47</v>
      </c>
      <c r="C7" s="6">
        <v>28638.318750000009</v>
      </c>
      <c r="D7" s="7"/>
      <c r="E7" s="7"/>
      <c r="F7" s="7"/>
    </row>
    <row r="8" spans="1:7" x14ac:dyDescent="0.2">
      <c r="B8" t="s">
        <v>48</v>
      </c>
      <c r="C8" s="6">
        <v>9126.9634613170656</v>
      </c>
      <c r="D8" s="7"/>
      <c r="E8" s="7"/>
      <c r="F8" s="7"/>
    </row>
    <row r="9" spans="1:7" x14ac:dyDescent="0.2">
      <c r="B9" t="s">
        <v>49</v>
      </c>
      <c r="C9" s="6">
        <v>8708.123357270324</v>
      </c>
      <c r="D9" s="7"/>
      <c r="E9" s="7"/>
      <c r="F9" s="7"/>
    </row>
    <row r="10" spans="1:7" x14ac:dyDescent="0.2">
      <c r="B10" t="s">
        <v>50</v>
      </c>
      <c r="C10" s="6">
        <v>4144.6416266117903</v>
      </c>
      <c r="D10" s="7"/>
      <c r="E10" s="7"/>
      <c r="F10" s="7"/>
    </row>
    <row r="11" spans="1:7" x14ac:dyDescent="0.2">
      <c r="B11" t="s">
        <v>51</v>
      </c>
      <c r="C11" s="6">
        <v>1656.6063816774131</v>
      </c>
      <c r="D11" s="7"/>
      <c r="E11" s="7"/>
      <c r="F11" s="7"/>
    </row>
    <row r="12" spans="1:7" x14ac:dyDescent="0.2">
      <c r="B12" t="s">
        <v>52</v>
      </c>
      <c r="C12" s="6">
        <v>6270.0988710280944</v>
      </c>
      <c r="D12" s="7"/>
      <c r="E12" s="7"/>
      <c r="F12" s="7"/>
    </row>
    <row r="13" spans="1:7" x14ac:dyDescent="0.2">
      <c r="B13" t="s">
        <v>53</v>
      </c>
      <c r="C13" s="6">
        <v>24392.747552095341</v>
      </c>
      <c r="D13" s="7"/>
      <c r="E13" s="7"/>
      <c r="F13" s="7"/>
    </row>
    <row r="14" spans="1:7" x14ac:dyDescent="0.2">
      <c r="A14" t="s">
        <v>54</v>
      </c>
      <c r="B14" t="s">
        <v>55</v>
      </c>
      <c r="C14" s="6">
        <v>525602.5833333336</v>
      </c>
      <c r="D14" s="7"/>
      <c r="E14" s="7"/>
      <c r="F14" s="7"/>
      <c r="G14" t="s">
        <v>56</v>
      </c>
    </row>
    <row r="15" spans="1:7" x14ac:dyDescent="0.2">
      <c r="B15" t="s">
        <v>57</v>
      </c>
      <c r="C15" s="6">
        <v>23937.692907303059</v>
      </c>
      <c r="D15" s="7"/>
      <c r="E15" s="7"/>
      <c r="F15" s="7"/>
    </row>
    <row r="16" spans="1:7" x14ac:dyDescent="0.2">
      <c r="B16" t="s">
        <v>58</v>
      </c>
      <c r="C16" s="6"/>
      <c r="D16" s="7"/>
      <c r="E16" s="7"/>
      <c r="F16" s="7">
        <v>0.26100000000000001</v>
      </c>
      <c r="G16" t="s">
        <v>59</v>
      </c>
    </row>
    <row r="17" spans="1:7" x14ac:dyDescent="0.2">
      <c r="A17" t="s">
        <v>60</v>
      </c>
      <c r="B17" t="s">
        <v>55</v>
      </c>
      <c r="C17" s="6">
        <v>18374.918676163092</v>
      </c>
      <c r="D17" s="7"/>
      <c r="E17" s="7"/>
      <c r="F17" s="7">
        <v>21464.952454720191</v>
      </c>
      <c r="G17" t="s">
        <v>61</v>
      </c>
    </row>
    <row r="18" spans="1:7" x14ac:dyDescent="0.2">
      <c r="B18" t="s">
        <v>62</v>
      </c>
      <c r="C18" s="6">
        <v>13471.985242721261</v>
      </c>
      <c r="D18" s="7"/>
      <c r="E18" s="7"/>
      <c r="F18" s="7">
        <v>87.69</v>
      </c>
      <c r="G18" t="s">
        <v>63</v>
      </c>
    </row>
    <row r="19" spans="1:7" x14ac:dyDescent="0.2">
      <c r="B19" t="s">
        <v>64</v>
      </c>
      <c r="C19" s="6">
        <v>3923.7983364287661</v>
      </c>
      <c r="D19" s="7"/>
      <c r="E19" s="7"/>
      <c r="F19" s="7">
        <v>9.31</v>
      </c>
      <c r="G19" t="s">
        <v>63</v>
      </c>
    </row>
    <row r="20" spans="1:7" x14ac:dyDescent="0.2">
      <c r="B20" t="s">
        <v>65</v>
      </c>
      <c r="C20" s="6">
        <v>979.13509701305986</v>
      </c>
      <c r="D20" s="7"/>
      <c r="E20" s="7"/>
      <c r="F20" s="7">
        <v>3</v>
      </c>
      <c r="G20" t="s">
        <v>63</v>
      </c>
    </row>
    <row r="21" spans="1:7" x14ac:dyDescent="0.2">
      <c r="A21" t="s">
        <v>66</v>
      </c>
      <c r="B21" t="s">
        <v>55</v>
      </c>
      <c r="C21" s="6">
        <v>17405.574930120161</v>
      </c>
      <c r="D21" s="7"/>
      <c r="E21" s="7"/>
      <c r="F21" s="7"/>
      <c r="G21" t="s">
        <v>67</v>
      </c>
    </row>
    <row r="22" spans="1:7" x14ac:dyDescent="0.2">
      <c r="B22" t="s">
        <v>68</v>
      </c>
      <c r="C22" s="6"/>
      <c r="D22" s="7"/>
      <c r="E22" s="7"/>
      <c r="F22" s="7">
        <v>309.18272699165129</v>
      </c>
      <c r="G22" t="s">
        <v>69</v>
      </c>
    </row>
    <row r="23" spans="1:7" x14ac:dyDescent="0.2">
      <c r="A23" t="s">
        <v>70</v>
      </c>
      <c r="B23" t="s">
        <v>55</v>
      </c>
      <c r="C23" s="6">
        <v>13533.45530711549</v>
      </c>
      <c r="D23" s="7"/>
      <c r="E23" s="7"/>
      <c r="F23" s="7"/>
      <c r="G23" t="s">
        <v>71</v>
      </c>
    </row>
    <row r="24" spans="1:7" x14ac:dyDescent="0.2">
      <c r="B24" t="s">
        <v>62</v>
      </c>
      <c r="C24" s="6">
        <v>13337.265390294049</v>
      </c>
      <c r="D24" s="7"/>
      <c r="E24" s="7"/>
      <c r="F24" s="7">
        <v>99.466650473311901</v>
      </c>
      <c r="G24" t="s">
        <v>63</v>
      </c>
    </row>
    <row r="25" spans="1:7" x14ac:dyDescent="0.2">
      <c r="B25" t="s">
        <v>72</v>
      </c>
      <c r="C25" s="6">
        <v>196.1899168214382</v>
      </c>
      <c r="D25" s="7"/>
      <c r="E25" s="7"/>
      <c r="F25" s="7">
        <v>0.53334952668809965</v>
      </c>
      <c r="G25" t="s">
        <v>63</v>
      </c>
    </row>
    <row r="26" spans="1:7" x14ac:dyDescent="0.2">
      <c r="A26" t="s">
        <v>73</v>
      </c>
      <c r="B26" t="s">
        <v>74</v>
      </c>
      <c r="C26" s="6">
        <v>6788.6679979195324</v>
      </c>
      <c r="D26" s="7">
        <v>84.019489072298896</v>
      </c>
      <c r="E26" s="7">
        <v>15.980510927701101</v>
      </c>
      <c r="F26" s="7"/>
      <c r="G26" t="s">
        <v>75</v>
      </c>
    </row>
    <row r="27" spans="1:7" x14ac:dyDescent="0.2">
      <c r="B27" t="s">
        <v>46</v>
      </c>
      <c r="C27" s="6">
        <v>5703.8041666666541</v>
      </c>
      <c r="D27" s="7"/>
      <c r="E27" s="7"/>
      <c r="F27" s="7"/>
    </row>
    <row r="28" spans="1:7" x14ac:dyDescent="0.2">
      <c r="B28" t="s">
        <v>49</v>
      </c>
      <c r="C28" s="6">
        <v>165.45434378813621</v>
      </c>
      <c r="D28" s="7"/>
      <c r="E28" s="7"/>
      <c r="F28" s="7"/>
    </row>
    <row r="29" spans="1:7" x14ac:dyDescent="0.2">
      <c r="B29" t="s">
        <v>50</v>
      </c>
      <c r="C29" s="6">
        <v>78.748190905624043</v>
      </c>
      <c r="D29" s="7"/>
      <c r="E29" s="7"/>
      <c r="F29" s="7"/>
    </row>
    <row r="30" spans="1:7" x14ac:dyDescent="0.2">
      <c r="B30" t="s">
        <v>51</v>
      </c>
      <c r="C30" s="6">
        <v>31.47552125187077</v>
      </c>
      <c r="D30" s="7"/>
      <c r="E30" s="7"/>
      <c r="F30" s="7"/>
    </row>
    <row r="31" spans="1:7" x14ac:dyDescent="0.2">
      <c r="B31" t="s">
        <v>52</v>
      </c>
      <c r="C31" s="6">
        <v>119.1318785495336</v>
      </c>
      <c r="D31" s="7"/>
      <c r="E31" s="7"/>
      <c r="F31" s="7"/>
    </row>
    <row r="32" spans="1:7" x14ac:dyDescent="0.2">
      <c r="B32" t="s">
        <v>53</v>
      </c>
      <c r="C32" s="6">
        <v>463.46220348981171</v>
      </c>
      <c r="D32" s="7"/>
      <c r="E32" s="7"/>
      <c r="F32" s="7"/>
    </row>
    <row r="33" spans="1:7" x14ac:dyDescent="0.2">
      <c r="A33" t="s">
        <v>76</v>
      </c>
      <c r="B33" t="s">
        <v>55</v>
      </c>
      <c r="C33" s="6">
        <v>51767.509650664048</v>
      </c>
      <c r="D33" s="7">
        <v>44.999999999999993</v>
      </c>
      <c r="E33" s="7">
        <v>55.000000000000007</v>
      </c>
      <c r="F33" s="7"/>
      <c r="G33" t="s">
        <v>77</v>
      </c>
    </row>
    <row r="34" spans="1:7" x14ac:dyDescent="0.2">
      <c r="B34" t="s">
        <v>46</v>
      </c>
      <c r="C34" s="6">
        <v>23295.37934279882</v>
      </c>
      <c r="D34" s="7"/>
      <c r="E34" s="7"/>
      <c r="F34" s="7"/>
    </row>
    <row r="35" spans="1:7" x14ac:dyDescent="0.2">
      <c r="B35" t="s">
        <v>47</v>
      </c>
      <c r="C35" s="6">
        <v>10889.43432150001</v>
      </c>
      <c r="D35" s="7"/>
      <c r="E35" s="7"/>
      <c r="F35" s="7"/>
    </row>
    <row r="36" spans="1:7" x14ac:dyDescent="0.2">
      <c r="B36" t="s">
        <v>48</v>
      </c>
      <c r="C36" s="6">
        <v>2637.5318057637128</v>
      </c>
      <c r="D36" s="7"/>
      <c r="E36" s="7"/>
      <c r="F36" s="7"/>
    </row>
    <row r="37" spans="1:7" x14ac:dyDescent="0.2">
      <c r="B37" t="s">
        <v>49</v>
      </c>
      <c r="C37" s="6">
        <v>2834.3673625154079</v>
      </c>
      <c r="D37" s="7"/>
      <c r="E37" s="7"/>
      <c r="F37" s="7"/>
    </row>
    <row r="38" spans="1:7" x14ac:dyDescent="0.2">
      <c r="B38" t="s">
        <v>50</v>
      </c>
      <c r="C38" s="6">
        <v>1399.451176507346</v>
      </c>
      <c r="D38" s="7"/>
      <c r="E38" s="7"/>
      <c r="F38" s="7"/>
    </row>
    <row r="39" spans="1:7" x14ac:dyDescent="0.2">
      <c r="B39" t="s">
        <v>51</v>
      </c>
      <c r="C39" s="6">
        <v>438.41597535603751</v>
      </c>
      <c r="D39" s="7"/>
      <c r="E39" s="7"/>
      <c r="F39" s="7"/>
    </row>
    <row r="40" spans="1:7" x14ac:dyDescent="0.2">
      <c r="B40" t="s">
        <v>52</v>
      </c>
      <c r="C40" s="6">
        <v>1888.2407766180211</v>
      </c>
      <c r="D40" s="7"/>
      <c r="E40" s="7"/>
      <c r="F40" s="7"/>
    </row>
    <row r="41" spans="1:7" x14ac:dyDescent="0.2">
      <c r="B41" t="s">
        <v>53</v>
      </c>
      <c r="C41" s="6">
        <v>8384.6888896046949</v>
      </c>
      <c r="D41" s="7"/>
      <c r="E41" s="7"/>
      <c r="F41" s="7"/>
    </row>
    <row r="42" spans="1:7" x14ac:dyDescent="0.2">
      <c r="A42" t="s">
        <v>78</v>
      </c>
      <c r="B42" t="s">
        <v>55</v>
      </c>
      <c r="C42" s="6">
        <v>455460.15500650642</v>
      </c>
      <c r="D42" s="7">
        <v>90.623066586101757</v>
      </c>
      <c r="E42" s="7">
        <v>9.3769334138982394</v>
      </c>
      <c r="F42" s="7"/>
      <c r="G42" t="s">
        <v>79</v>
      </c>
    </row>
    <row r="43" spans="1:7" x14ac:dyDescent="0.2">
      <c r="B43" t="s">
        <v>46</v>
      </c>
      <c r="C43" s="6">
        <v>412751.9595447086</v>
      </c>
      <c r="D43" s="7"/>
      <c r="E43" s="7"/>
      <c r="F43" s="7"/>
    </row>
    <row r="44" spans="1:7" x14ac:dyDescent="0.2">
      <c r="B44" t="s">
        <v>47</v>
      </c>
      <c r="C44" s="6">
        <v>16334.15148225001</v>
      </c>
      <c r="D44" s="7"/>
      <c r="E44" s="7"/>
      <c r="F44" s="7"/>
    </row>
    <row r="45" spans="1:7" x14ac:dyDescent="0.2">
      <c r="B45" t="s">
        <v>48</v>
      </c>
      <c r="C45" s="6">
        <v>3956.2977086455689</v>
      </c>
      <c r="D45" s="7"/>
      <c r="E45" s="7"/>
      <c r="F45" s="7"/>
    </row>
    <row r="46" spans="1:7" x14ac:dyDescent="0.2">
      <c r="B46" t="s">
        <v>49</v>
      </c>
      <c r="C46" s="6">
        <v>4251.5510437731118</v>
      </c>
      <c r="D46" s="7"/>
      <c r="E46" s="7"/>
      <c r="F46" s="7"/>
    </row>
    <row r="47" spans="1:7" x14ac:dyDescent="0.2">
      <c r="B47" t="s">
        <v>50</v>
      </c>
      <c r="C47" s="6">
        <v>2099.1767647610191</v>
      </c>
      <c r="D47" s="7"/>
      <c r="E47" s="7"/>
      <c r="F47" s="7"/>
    </row>
    <row r="48" spans="1:7" x14ac:dyDescent="0.2">
      <c r="B48" t="s">
        <v>51</v>
      </c>
      <c r="C48" s="6">
        <v>657.62396303405603</v>
      </c>
      <c r="D48" s="7"/>
      <c r="E48" s="7"/>
      <c r="F48" s="7"/>
    </row>
    <row r="49" spans="1:6" x14ac:dyDescent="0.2">
      <c r="B49" t="s">
        <v>52</v>
      </c>
      <c r="C49" s="6">
        <v>2832.3611649270301</v>
      </c>
      <c r="D49" s="7"/>
      <c r="E49" s="7"/>
      <c r="F49" s="7"/>
    </row>
    <row r="50" spans="1:6" x14ac:dyDescent="0.2">
      <c r="B50" t="s">
        <v>53</v>
      </c>
      <c r="C50" s="6">
        <v>12577.03333440704</v>
      </c>
      <c r="D50" s="7"/>
      <c r="E50" s="7"/>
      <c r="F50" s="7"/>
    </row>
    <row r="51" spans="1:6" x14ac:dyDescent="0.2">
      <c r="C51" s="6"/>
      <c r="D51" s="7"/>
      <c r="E51" s="7"/>
      <c r="F51" s="7"/>
    </row>
    <row r="52" spans="1:6" x14ac:dyDescent="0.2">
      <c r="A52" t="s">
        <v>80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30" customWidth="1"/>
    <col min="4" max="4" width="53.83203125" customWidth="1"/>
    <col min="5" max="5" width="60" customWidth="1"/>
  </cols>
  <sheetData>
    <row r="1" spans="1:5" ht="16" x14ac:dyDescent="0.2">
      <c r="A1" s="11" t="s">
        <v>85</v>
      </c>
      <c r="B1" s="9"/>
      <c r="C1" s="9"/>
      <c r="D1" s="9"/>
      <c r="E1" s="9"/>
    </row>
    <row r="3" spans="1:5" x14ac:dyDescent="0.2">
      <c r="A3" s="1" t="s">
        <v>86</v>
      </c>
      <c r="B3" s="1" t="s">
        <v>87</v>
      </c>
      <c r="C3" s="1" t="s">
        <v>88</v>
      </c>
      <c r="D3" s="1" t="s">
        <v>89</v>
      </c>
      <c r="E3" s="1" t="s">
        <v>90</v>
      </c>
    </row>
    <row r="4" spans="1:5" x14ac:dyDescent="0.2">
      <c r="A4" t="s">
        <v>91</v>
      </c>
      <c r="B4" t="s">
        <v>2</v>
      </c>
      <c r="C4" t="s">
        <v>92</v>
      </c>
      <c r="D4" t="s">
        <v>93</v>
      </c>
      <c r="E4" t="s">
        <v>94</v>
      </c>
    </row>
    <row r="5" spans="1:5" x14ac:dyDescent="0.2">
      <c r="A5" t="s">
        <v>91</v>
      </c>
      <c r="B5" t="s">
        <v>2</v>
      </c>
      <c r="C5" t="s">
        <v>95</v>
      </c>
      <c r="D5" t="s">
        <v>96</v>
      </c>
      <c r="E5" t="s">
        <v>97</v>
      </c>
    </row>
    <row r="6" spans="1:5" x14ac:dyDescent="0.2">
      <c r="A6" t="s">
        <v>91</v>
      </c>
      <c r="B6" t="s">
        <v>24</v>
      </c>
      <c r="C6" t="s">
        <v>92</v>
      </c>
      <c r="D6" t="s">
        <v>93</v>
      </c>
      <c r="E6" t="s">
        <v>94</v>
      </c>
    </row>
    <row r="7" spans="1:5" x14ac:dyDescent="0.2">
      <c r="A7" t="s">
        <v>91</v>
      </c>
      <c r="B7" t="s">
        <v>24</v>
      </c>
      <c r="C7" t="s">
        <v>95</v>
      </c>
      <c r="D7" t="s">
        <v>98</v>
      </c>
      <c r="E7" t="s">
        <v>97</v>
      </c>
    </row>
    <row r="8" spans="1:5" x14ac:dyDescent="0.2">
      <c r="A8" t="s">
        <v>91</v>
      </c>
      <c r="B8" t="s">
        <v>27</v>
      </c>
      <c r="C8" t="s">
        <v>92</v>
      </c>
      <c r="D8" t="s">
        <v>93</v>
      </c>
      <c r="E8" t="s">
        <v>94</v>
      </c>
    </row>
    <row r="9" spans="1:5" x14ac:dyDescent="0.2">
      <c r="A9" t="s">
        <v>91</v>
      </c>
      <c r="B9" t="s">
        <v>27</v>
      </c>
      <c r="C9" t="s">
        <v>95</v>
      </c>
      <c r="D9" t="s">
        <v>99</v>
      </c>
      <c r="E9" t="s">
        <v>97</v>
      </c>
    </row>
    <row r="10" spans="1:5" x14ac:dyDescent="0.2">
      <c r="A10" t="s">
        <v>91</v>
      </c>
      <c r="B10" t="s">
        <v>30</v>
      </c>
      <c r="C10" t="s">
        <v>92</v>
      </c>
      <c r="D10" t="s">
        <v>93</v>
      </c>
      <c r="E10" t="s">
        <v>94</v>
      </c>
    </row>
    <row r="11" spans="1:5" x14ac:dyDescent="0.2">
      <c r="A11" t="s">
        <v>91</v>
      </c>
      <c r="B11" t="s">
        <v>30</v>
      </c>
      <c r="C11" t="s">
        <v>95</v>
      </c>
      <c r="D11" t="s">
        <v>100</v>
      </c>
      <c r="E11" t="s">
        <v>97</v>
      </c>
    </row>
    <row r="12" spans="1:5" x14ac:dyDescent="0.2">
      <c r="A12" t="s">
        <v>91</v>
      </c>
      <c r="B12" t="s">
        <v>31</v>
      </c>
      <c r="C12" t="s">
        <v>92</v>
      </c>
      <c r="D12" t="s">
        <v>93</v>
      </c>
      <c r="E12" t="s">
        <v>94</v>
      </c>
    </row>
    <row r="13" spans="1:5" x14ac:dyDescent="0.2">
      <c r="A13" t="s">
        <v>91</v>
      </c>
      <c r="B13" t="s">
        <v>31</v>
      </c>
      <c r="C13" t="s">
        <v>95</v>
      </c>
      <c r="D13" t="s">
        <v>101</v>
      </c>
      <c r="E13" t="s">
        <v>97</v>
      </c>
    </row>
    <row r="14" spans="1:5" x14ac:dyDescent="0.2">
      <c r="A14" t="s">
        <v>91</v>
      </c>
      <c r="B14" t="s">
        <v>31</v>
      </c>
      <c r="C14" t="s">
        <v>102</v>
      </c>
      <c r="D14" t="s">
        <v>103</v>
      </c>
      <c r="E14" t="s">
        <v>104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CAPEX &amp; OPEX</vt:lpstr>
      <vt:lpstr>Stream Table</vt:lpstr>
      <vt:lpstr>Stream Table — Enzymatic</vt:lpstr>
      <vt:lpstr>Stream Table — Peroxide</vt:lpstr>
      <vt:lpstr>Stream Table — Combined PE</vt:lpstr>
      <vt:lpstr>Stream Table — Combined PTE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Azhar Bin Mohammad Razin</cp:lastModifiedBy>
  <dcterms:created xsi:type="dcterms:W3CDTF">2026-04-05T16:22:57Z</dcterms:created>
  <dcterms:modified xsi:type="dcterms:W3CDTF">2026-04-05T16:24:52Z</dcterms:modified>
</cp:coreProperties>
</file>